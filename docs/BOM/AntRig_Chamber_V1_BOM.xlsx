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lsB\Documents\Git\AntRig-Measurement-System\docs\BOM\"/>
    </mc:Choice>
  </mc:AlternateContent>
  <xr:revisionPtr revIDLastSave="0" documentId="13_ncr:1_{9B153E75-33E8-411C-BADA-479AC6421ED8}" xr6:coauthVersionLast="47" xr6:coauthVersionMax="47" xr10:uidLastSave="{00000000-0000-0000-0000-000000000000}"/>
  <bookViews>
    <workbookView xWindow="19095" yWindow="0" windowWidth="19410" windowHeight="20985" firstSheet="2" activeTab="6" xr2:uid="{00000000-000D-0000-FFFF-FFFF00000000}"/>
  </bookViews>
  <sheets>
    <sheet name="Absorbersurface Calc" sheetId="1" r:id="rId1"/>
    <sheet name="Enclosure Order+Postprocessing" sheetId="2" r:id="rId2"/>
    <sheet name="RatRig Parts" sheetId="3" r:id="rId3"/>
    <sheet name="ITEM Parts" sheetId="4" r:id="rId4"/>
    <sheet name="3D Printed Parts" sheetId="10" r:id="rId5"/>
    <sheet name="Standard Parts" sheetId="5" r:id="rId6"/>
    <sheet name="Misc Parts" sheetId="6" r:id="rId7"/>
    <sheet name="ITEM VorBestellung" sheetId="7" state="hidden" r:id="rId8"/>
    <sheet name="RatRig VorBestellung" sheetId="8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6" i="6"/>
  <c r="E7" i="6"/>
  <c r="G2" i="6" s="1"/>
  <c r="E8" i="6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B30" i="2"/>
  <c r="B28" i="2"/>
  <c r="I4" i="1"/>
  <c r="I5" i="1"/>
  <c r="I6" i="1"/>
  <c r="I7" i="1"/>
  <c r="I8" i="1"/>
  <c r="I9" i="1"/>
  <c r="I10" i="1"/>
  <c r="I11" i="1"/>
  <c r="I12" i="1"/>
  <c r="I3" i="1"/>
  <c r="K41" i="7"/>
  <c r="D41" i="7"/>
  <c r="O38" i="7"/>
  <c r="O37" i="7"/>
  <c r="O36" i="7"/>
  <c r="O35" i="7"/>
  <c r="O34" i="7"/>
  <c r="O33" i="7"/>
  <c r="D33" i="7"/>
  <c r="O32" i="7"/>
  <c r="K32" i="7"/>
  <c r="D32" i="7"/>
  <c r="O31" i="7"/>
  <c r="K31" i="7"/>
  <c r="D31" i="7"/>
  <c r="O30" i="7"/>
  <c r="K30" i="7"/>
  <c r="D30" i="7"/>
  <c r="O29" i="7"/>
  <c r="N29" i="7"/>
  <c r="K29" i="7"/>
  <c r="D29" i="7"/>
  <c r="N28" i="7"/>
  <c r="O28" i="7" s="1"/>
  <c r="O41" i="7" s="1"/>
  <c r="K28" i="7"/>
  <c r="H28" i="7"/>
  <c r="D28" i="7"/>
  <c r="D17" i="7"/>
  <c r="Q9" i="7"/>
  <c r="K9" i="7"/>
  <c r="D9" i="7"/>
  <c r="Q8" i="7"/>
  <c r="O8" i="7"/>
  <c r="K8" i="7"/>
  <c r="D8" i="7"/>
  <c r="Q7" i="7"/>
  <c r="O7" i="7"/>
  <c r="K7" i="7"/>
  <c r="D7" i="7"/>
  <c r="Q6" i="7"/>
  <c r="O6" i="7"/>
  <c r="K6" i="7"/>
  <c r="J6" i="7"/>
  <c r="D6" i="7"/>
  <c r="N5" i="7"/>
  <c r="O5" i="7" s="1"/>
  <c r="K5" i="7"/>
  <c r="J5" i="7"/>
  <c r="D5" i="7"/>
  <c r="N4" i="7"/>
  <c r="O4" i="7" s="1"/>
  <c r="K4" i="7"/>
  <c r="J4" i="7"/>
  <c r="H4" i="7"/>
  <c r="D4" i="7"/>
  <c r="E10" i="6"/>
  <c r="E9" i="6"/>
  <c r="E4" i="6"/>
  <c r="E3" i="6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J2" i="5"/>
  <c r="E23" i="4"/>
  <c r="E22" i="4"/>
  <c r="E21" i="4"/>
  <c r="E20" i="4"/>
  <c r="E19" i="4"/>
  <c r="C18" i="4"/>
  <c r="E18" i="4" s="1"/>
  <c r="C17" i="4"/>
  <c r="E17" i="4" s="1"/>
  <c r="E16" i="4"/>
  <c r="C16" i="4"/>
  <c r="E15" i="4"/>
  <c r="E14" i="4"/>
  <c r="C13" i="4"/>
  <c r="E13" i="4" s="1"/>
  <c r="C12" i="4"/>
  <c r="E12" i="4" s="1"/>
  <c r="E11" i="4"/>
  <c r="C10" i="4"/>
  <c r="E10" i="4" s="1"/>
  <c r="C9" i="4"/>
  <c r="E9" i="4" s="1"/>
  <c r="E8" i="4"/>
  <c r="E7" i="4"/>
  <c r="E6" i="4"/>
  <c r="C5" i="4"/>
  <c r="E5" i="4" s="1"/>
  <c r="E4" i="4"/>
  <c r="E3" i="4"/>
  <c r="E25" i="3"/>
  <c r="E24" i="3"/>
  <c r="E23" i="3"/>
  <c r="E22" i="3"/>
  <c r="C22" i="3"/>
  <c r="C21" i="3"/>
  <c r="E21" i="3" s="1"/>
  <c r="E20" i="3"/>
  <c r="E19" i="3"/>
  <c r="C19" i="3"/>
  <c r="E18" i="3"/>
  <c r="C18" i="3"/>
  <c r="E17" i="3"/>
  <c r="C17" i="3"/>
  <c r="E16" i="3"/>
  <c r="E15" i="3"/>
  <c r="E14" i="3"/>
  <c r="C14" i="3"/>
  <c r="C13" i="3"/>
  <c r="E13" i="3" s="1"/>
  <c r="E12" i="3"/>
  <c r="E11" i="3"/>
  <c r="E10" i="3"/>
  <c r="C9" i="3"/>
  <c r="E9" i="3" s="1"/>
  <c r="E8" i="3"/>
  <c r="E7" i="3"/>
  <c r="E6" i="3"/>
  <c r="E5" i="3"/>
  <c r="E4" i="3"/>
  <c r="E3" i="3"/>
  <c r="B20" i="2"/>
  <c r="B19" i="2"/>
  <c r="A19" i="2"/>
  <c r="I13" i="1"/>
  <c r="H29" i="10" l="1"/>
  <c r="H3" i="10"/>
  <c r="H2" i="4"/>
  <c r="K13" i="1"/>
  <c r="G2" i="3"/>
  <c r="C4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Nils Bade</author>
  </authors>
  <commentList>
    <comment ref="C11" authorId="0" shapeId="0" xr:uid="{574D30F2-CA27-4B41-BD70-8BD845016A83}">
      <text>
        <r>
          <rPr>
            <b/>
            <sz val="9"/>
            <color indexed="81"/>
            <rFont val="Segoe UI"/>
            <family val="2"/>
          </rPr>
          <t>Nils Bade:</t>
        </r>
        <r>
          <rPr>
            <sz val="9"/>
            <color indexed="81"/>
            <rFont val="Segoe UI"/>
            <family val="2"/>
          </rPr>
          <t xml:space="preserve">
26 in step model</t>
        </r>
      </text>
    </comment>
    <comment ref="C12" authorId="0" shapeId="0" xr:uid="{539AF01D-23B1-4CAC-A34A-2321BEA5AD66}">
      <text>
        <r>
          <rPr>
            <b/>
            <sz val="9"/>
            <color indexed="81"/>
            <rFont val="Segoe UI"/>
            <family val="2"/>
          </rPr>
          <t>Nils Bade:</t>
        </r>
        <r>
          <rPr>
            <sz val="9"/>
            <color indexed="81"/>
            <rFont val="Segoe UI"/>
            <family val="2"/>
          </rPr>
          <t xml:space="preserve">
51 in step model</t>
        </r>
      </text>
    </comment>
    <comment ref="C13" authorId="0" shapeId="0" xr:uid="{AF1866F0-5B69-4DA8-A765-F2472BEA8228}">
      <text>
        <r>
          <rPr>
            <b/>
            <sz val="9"/>
            <color indexed="81"/>
            <rFont val="Segoe UI"/>
            <family val="2"/>
          </rPr>
          <t>Nils Bade:</t>
        </r>
        <r>
          <rPr>
            <sz val="9"/>
            <color indexed="81"/>
            <rFont val="Segoe UI"/>
            <family val="2"/>
          </rPr>
          <t xml:space="preserve">
77 in step model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tc={1FF339A2-B53F-440B-9BE8-316154D6701D}</author>
  </authors>
  <commentList>
    <comment ref="C6" authorId="0" shapeId="0" xr:uid="{1FF339A2-B53F-440B-9BE8-316154D6701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Represents maximum installable number! Since magnets are very strong, fewer mounting points and thus significantly fewer magnets can be used!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6" authorId="0" shapeId="0" xr:uid="{00000000-0006-0000-0600-000003000000}">
      <text>
        <r>
          <rPr>
            <sz val="10"/>
            <color rgb="FF000000"/>
            <rFont val="Arial"/>
            <scheme val="minor"/>
          </rPr>
          <t>*Zum ausprobieren/ vergleichen
	-Nils Bade</t>
        </r>
      </text>
    </comment>
    <comment ref="M7" authorId="0" shapeId="0" xr:uid="{00000000-0006-0000-0600-000002000000}">
      <text>
        <r>
          <rPr>
            <sz val="10"/>
            <color rgb="FF000000"/>
            <rFont val="Arial"/>
            <scheme val="minor"/>
          </rPr>
          <t>*Zum ausprobieren/ vergleichen
	-Nils Bade</t>
        </r>
      </text>
    </comment>
    <comment ref="M8" authorId="0" shapeId="0" xr:uid="{00000000-0006-0000-0600-000001000000}">
      <text>
        <r>
          <rPr>
            <sz val="10"/>
            <color rgb="FF000000"/>
            <rFont val="Arial"/>
            <scheme val="minor"/>
          </rPr>
          <t>*Zum ausprobieren/ vergleichen
	-Nils Bade</t>
        </r>
      </text>
    </comment>
  </commentList>
</comments>
</file>

<file path=xl/sharedStrings.xml><?xml version="1.0" encoding="utf-8"?>
<sst xmlns="http://schemas.openxmlformats.org/spreadsheetml/2006/main" count="478" uniqueCount="361">
  <si>
    <t>Position</t>
  </si>
  <si>
    <t>Anzahl</t>
  </si>
  <si>
    <t>Anmerkung</t>
  </si>
  <si>
    <r>
      <rPr>
        <sz val="10"/>
        <color theme="1"/>
        <rFont val="Arial"/>
      </rPr>
      <t xml:space="preserve">= </t>
    </r>
    <r>
      <rPr>
        <b/>
        <sz val="10"/>
        <color theme="1"/>
        <rFont val="Arial"/>
      </rPr>
      <t xml:space="preserve">[m^2] </t>
    </r>
    <r>
      <rPr>
        <sz val="10"/>
        <color theme="1"/>
        <rFont val="Arial"/>
      </rPr>
      <t>=&gt;</t>
    </r>
  </si>
  <si>
    <t>https://convertio.co/de/dxf-svg/</t>
  </si>
  <si>
    <t>1* Deckel/Top</t>
  </si>
  <si>
    <t>Top</t>
  </si>
  <si>
    <t>1* Back Top</t>
  </si>
  <si>
    <t>Back</t>
  </si>
  <si>
    <t>4* Back Part (1* modified HF Kabel)</t>
  </si>
  <si>
    <t>Left/Right</t>
  </si>
  <si>
    <t>Front</t>
  </si>
  <si>
    <t>1* E-Panel</t>
  </si>
  <si>
    <t>Elektronik Panel</t>
  </si>
  <si>
    <t>Gesamtpreis:</t>
  </si>
  <si>
    <t>Links</t>
  </si>
  <si>
    <t>ENDSTOP MODULE - HORIZONTAL LIMIT SWITCH ONLY</t>
  </si>
  <si>
    <t>https://ratrig.com/electronics/probes-limit-switches/endstop-module-horizontal-limit-switch-only.html</t>
  </si>
  <si>
    <t>BLTOUCH V3.1 - GENUINE ANTCLABS AUTO BED LEVELING SENSOR</t>
  </si>
  <si>
    <t>https://ratrig.com/bltouch-v3-1.html</t>
  </si>
  <si>
    <t>ALUMINIUM SPACER - 6MM</t>
  </si>
  <si>
    <t>https://ratrig.com/aluminium-spacer-6mm.html</t>
  </si>
  <si>
    <t>BALL BEARING - 695-2RS</t>
  </si>
  <si>
    <t>https://ratrig.com/ball-bearing-695-2rs.html</t>
  </si>
  <si>
    <t>BALL BEARING F688ZZ FLANGED 8 X 16 X 5</t>
  </si>
  <si>
    <t>https://ratrig.com/ball-bearing-f688zz.html</t>
  </si>
  <si>
    <t>BALL BEARING - F695ZZ</t>
  </si>
  <si>
    <t>https://ratrig.com/ball-bearing-f695zz.html</t>
  </si>
  <si>
    <t>COUPLER - RIGID TYPE - BLACK 25*20MM - 5MM TO 8MM</t>
  </si>
  <si>
    <t>https://ratrig.com/coupler-rigid-type-black-25-20mm-5mm-to-8mm.html</t>
  </si>
  <si>
    <t>Bed Plate - Cast tooling plate - Pre-Machined - 529*529*6mm</t>
  </si>
  <si>
    <t>https://ratrig.com/bed-plate-cast-tooling-plate-pre-machined-multiple-sizes.html</t>
  </si>
  <si>
    <t>TIMING BELT - 2GT 9MM (BY THE METER)</t>
  </si>
  <si>
    <t>https://ratrig.com/timing-belt-2gt-9mm-by-the-meter.html</t>
  </si>
  <si>
    <t>DOWEL PIN - 3.0MM X 35.0MM</t>
  </si>
  <si>
    <t>https://ratrig.com/dowel-pin-3-0mm-x-35-0mm.html</t>
  </si>
  <si>
    <t>Lead Screw - TR8*8 Metric Acme Lead Screw - 1057mm</t>
  </si>
  <si>
    <t>https://ratrig.com/acme-8mm-lead-screw.html</t>
  </si>
  <si>
    <t>MAGNET - 20 X 10 X 5MM - TWO HOLE (M3 COUNTERSINK SCREWS)</t>
  </si>
  <si>
    <t>https://ratrig.com/magnet-20-x-10-x-5mm-two-hole-m3-countersink-screws.html</t>
  </si>
  <si>
    <t>Linear Rail - MGN15 500mm + MGN15C carriage</t>
  </si>
  <si>
    <t>https://ratrig.com/hardware2/linear-rails/linear-rail-mgn15-mgn15c-carriage.html</t>
  </si>
  <si>
    <t>Linear Rail - MGN15 1000mm + 2 x MGN15C carriage</t>
  </si>
  <si>
    <t>https://ratrig.com/hardware2/linear-rails/linear-rail-mgn15-2x-mgn15c-carriage-multiple-lengths.html</t>
  </si>
  <si>
    <t>MINI PRECISION SHIM - 8 X 5 X 1MM</t>
  </si>
  <si>
    <t>https://ratrig.com/precision-mini-shim-8x5x1mm.html</t>
  </si>
  <si>
    <t>Nema 17 Stepper Motor - 48mm - 1.8degree/step, 76oz-in (LDO-42STH48-2504AC)
+ Cable 2000mm - 4 Conductor 24AWG - JST XH2.54 to JST PH6P (Nema 17 connector)</t>
  </si>
  <si>
    <t>https://ratrig.com/nema-17-stepper-motor.html</t>
  </si>
  <si>
    <t>NYLON SPACER - 3MM X 7MM X 5MM</t>
  </si>
  <si>
    <t>https://ratrig.com/nylon-spacer-3mm-x-7mm-x-5mm.html</t>
  </si>
  <si>
    <t>RAT RIG BI-MATERIAL LEAD SCREW DECOUPLER</t>
  </si>
  <si>
    <t>https://ratrig.com/rat-rig-bi-material-lead-screw-decoupler.html</t>
  </si>
  <si>
    <t>STEEL BALL - 12MM - THREADED M5</t>
  </si>
  <si>
    <t>https://ratrig.com/steel-ball-12mm-threaded-m5.html</t>
  </si>
  <si>
    <t>Thrust Bearing F8-16M</t>
  </si>
  <si>
    <t>https://ratrig.com/thrust-bearing-f8-16m.html</t>
  </si>
  <si>
    <t>TIMING PULLEY - 2GT (2MM) - 20 TOOTH - FOR 9MM BELT - 5MM BORE</t>
  </si>
  <si>
    <t>https://ratrig.com/openbuilds-gt2-2mm-aluminum-timing-pulley-9mm.html</t>
  </si>
  <si>
    <t>RAT RIG V-CORE 3.1 - WIRING KIT 500</t>
  </si>
  <si>
    <t>https://ratrig.com/rat-rig-v-core-3-1-wiring-kit-500.html</t>
  </si>
  <si>
    <t>Universal-Halter</t>
  </si>
  <si>
    <t>0049452</t>
  </si>
  <si>
    <t>https://www.item24.com/de-de/universal-halter-8-schwarz-49452?velcro=false&amp;fastMounting=true</t>
  </si>
  <si>
    <t>Befestigungssatz 8 für Lenk-/Bockrolle 140x110</t>
  </si>
  <si>
    <t>0067018</t>
  </si>
  <si>
    <t>https://www.item24.com/de-de/befestigungssatz-8-fur-lenk-bockrolle-140x110-67018#description</t>
  </si>
  <si>
    <t xml:space="preserve">Winkelsatz 8 40x40 </t>
  </si>
  <si>
    <t>0041115</t>
  </si>
  <si>
    <t>https://www.item24.com/de-de/winkelsatz-8-40x40-41115</t>
  </si>
  <si>
    <t>Lenkrolle 140x110</t>
  </si>
  <si>
    <t>0066718</t>
  </si>
  <si>
    <t>https://www.item24.com/de-de/lenkrolle-d100-doppelfeststeller-140x110-66718?esd=false</t>
  </si>
  <si>
    <t>Abdeckkappe 8 40x40 schwarz</t>
  </si>
  <si>
    <t>0002601</t>
  </si>
  <si>
    <t>https://www.item24.com/de-de/abdeckkappe-8-40x40-schwarz-2601?esd=false</t>
  </si>
  <si>
    <t>Abdeckkappe 8 80x40 schwarz</t>
  </si>
  <si>
    <t>0002602</t>
  </si>
  <si>
    <t>https://www.item24.com/de-de/abdeckkappe-8-80x40-schwarz-2602?esd=false</t>
  </si>
  <si>
    <t>Knotenblechsatz 8 40 120x120 90°</t>
  </si>
  <si>
    <t>0070802</t>
  </si>
  <si>
    <t>https://www.item24.com/de-de/knotenblechsatz-8-40-120x120-90-70802?outlet=false</t>
  </si>
  <si>
    <t>Knotenblechsatz 8 40 200x120 180°</t>
  </si>
  <si>
    <t>0070805</t>
  </si>
  <si>
    <t>https://www.item24.com/de-de/knotenblechsatz-8-40-200x120-180-70805?outlet=false</t>
  </si>
  <si>
    <t>Kabelführungsprofil 8 40x16 2000mm</t>
  </si>
  <si>
    <t>0065445</t>
  </si>
  <si>
    <t>https://www.item24.com/de-de/kabelfuhrungsprofil-8-40x16-grau-ahnlich-ral-7042-65444</t>
  </si>
  <si>
    <t>Nutenstein 8 Zn M3, verzinkt</t>
  </si>
  <si>
    <t>0037359</t>
  </si>
  <si>
    <t>https://www.item24.com/de-de/nutenstein-8-zn-m3-verzinkt-37359#technical-data</t>
  </si>
  <si>
    <t>Hammermutter 8 M6, verzinkt</t>
  </si>
  <si>
    <t>0062606</t>
  </si>
  <si>
    <t>https://www.item24.com/de-de/hammermutter-8-m6-verzinkt-62606?category=profiltechnik&amp;quantity=220</t>
  </si>
  <si>
    <t>Profil KH 8 80x40 640mm</t>
  </si>
  <si>
    <t>0065530</t>
  </si>
  <si>
    <t>https://www.item24.com/de-de/profil-kh-8-80x40-anthrazit-65530?length=640</t>
  </si>
  <si>
    <t>Profil KH 8 80x40 875mm</t>
  </si>
  <si>
    <t>https://www.item24.com/de-de/profil-kh-8-80x40-anthrazit-65530?length=875</t>
  </si>
  <si>
    <t>Profil KH 8 40x40 1500mm</t>
  </si>
  <si>
    <t>0064161</t>
  </si>
  <si>
    <t>https://www.item24.com/de-de/profil-kh-8-40x40-anthrazit-64161?length=1500&amp;category=profiltechnik</t>
  </si>
  <si>
    <t>Profil KH 8 40x40 715mm</t>
  </si>
  <si>
    <t>https://www.item24.com/de-de/profil-kh-8-40x40-anthrazit-64161?length=715&amp;category=profiltechnik</t>
  </si>
  <si>
    <t>Profil KH 8 40x40 640mm</t>
  </si>
  <si>
    <t>https://www.item24.com/de-de/profil-kh-8-40x40-anthrazit-64161?length=640&amp;category=profiltechnik</t>
  </si>
  <si>
    <t>Profil KH 8 40x40 1127mm</t>
  </si>
  <si>
    <t>https://www.item24.com/de-de/profil-kh-8-40x40-anthrazit-64161?length=1127&amp;category=profiltechnik</t>
  </si>
  <si>
    <t>Profil KH 8 40x40 1087mm</t>
  </si>
  <si>
    <t>https://www.item24.com/de-de/profil-kh-8-40x40-anthrazit-64161?length=1087&amp;category=profiltechnik</t>
  </si>
  <si>
    <t>Profil KH 8 40x40 622mm</t>
  </si>
  <si>
    <t>https://www.item24.com/de-de/profil-kh-8-40x40-anthrazit-64161?length=622&amp;category=profiltechnik</t>
  </si>
  <si>
    <t>Benötigt</t>
  </si>
  <si>
    <t>DIN912 M3x8</t>
  </si>
  <si>
    <t>2534-278</t>
  </si>
  <si>
    <t>DIN912, V2A Schrauben</t>
  </si>
  <si>
    <t>DIN912 M3x12</t>
  </si>
  <si>
    <t>2534-282</t>
  </si>
  <si>
    <t>DIN912 M3x18</t>
  </si>
  <si>
    <t>2534-288</t>
  </si>
  <si>
    <t>DIN912 M3x20</t>
  </si>
  <si>
    <t>2534-290</t>
  </si>
  <si>
    <t>DIN912 M3x35</t>
  </si>
  <si>
    <t>2534-298</t>
  </si>
  <si>
    <t>DIN912 M4x8</t>
  </si>
  <si>
    <t>2534-314</t>
  </si>
  <si>
    <t>DIN912 M4x12</t>
  </si>
  <si>
    <t>2534-318</t>
  </si>
  <si>
    <t>DIN912 M5x40</t>
  </si>
  <si>
    <t>2534-382</t>
  </si>
  <si>
    <t>DIN912 M5x50</t>
  </si>
  <si>
    <t>2534-388</t>
  </si>
  <si>
    <t>DIN912 M5x60</t>
  </si>
  <si>
    <t>2534-394</t>
  </si>
  <si>
    <t>DIN 912 M6x12</t>
  </si>
  <si>
    <t>2534-418</t>
  </si>
  <si>
    <t>DIN 912 M6x16</t>
  </si>
  <si>
    <t>2534-422</t>
  </si>
  <si>
    <t>DIN 912 M6x20</t>
  </si>
  <si>
    <t>2534-426</t>
  </si>
  <si>
    <t>DIN 7991 M3x12</t>
  </si>
  <si>
    <t>2608-686</t>
  </si>
  <si>
    <t>DIN 7991 Senkschrauben V2A</t>
  </si>
  <si>
    <t>DIN 7991 M5x16</t>
  </si>
  <si>
    <t>2608-746</t>
  </si>
  <si>
    <t>DIN 7991 M6x14</t>
  </si>
  <si>
    <t>2608-778</t>
  </si>
  <si>
    <t>DIN125 M3 Washer</t>
  </si>
  <si>
    <t>1498-294</t>
  </si>
  <si>
    <t>DIN 125 Unterlegscheiben</t>
  </si>
  <si>
    <t>DIN125 M6 Washer</t>
  </si>
  <si>
    <t>1498-302</t>
  </si>
  <si>
    <t>DIN985 M3</t>
  </si>
  <si>
    <t>3346-232</t>
  </si>
  <si>
    <t>DIN985 Locking Nuts</t>
  </si>
  <si>
    <t>DIN985 M5</t>
  </si>
  <si>
    <t>3346-236</t>
  </si>
  <si>
    <t>DIN985 M6</t>
  </si>
  <si>
    <t>3346-238</t>
  </si>
  <si>
    <t>Mouser</t>
  </si>
  <si>
    <t>POWER SUPPLY - MEANWELL RSP 75W 24V</t>
  </si>
  <si>
    <t>Neodymium disc magnet 10 mm diameter, 4 mm height</t>
  </si>
  <si>
    <t>Gauder</t>
  </si>
  <si>
    <t>Profilbestellungen ITEM</t>
  </si>
  <si>
    <t>4040 Profile</t>
  </si>
  <si>
    <t>DropIn-Nuts</t>
  </si>
  <si>
    <t>Sonstiges</t>
  </si>
  <si>
    <t>Vergleich: Umstieg Ratrig verbindertechnik auf ITEM verbindungstechnik</t>
  </si>
  <si>
    <t>Länge [mm]</t>
  </si>
  <si>
    <t>preis pro stk.</t>
  </si>
  <si>
    <t>gesamtpreis</t>
  </si>
  <si>
    <t>Ausführung</t>
  </si>
  <si>
    <t>Reserve</t>
  </si>
  <si>
    <t>Bestellen</t>
  </si>
  <si>
    <t>Preis (stk*Bestellen)</t>
  </si>
  <si>
    <t>Beschreibung</t>
  </si>
  <si>
    <t>PreisDiff, pro stück:</t>
  </si>
  <si>
    <t>Overall Preissteigerung Ratrig --&gt; ITEM</t>
  </si>
  <si>
    <t>*Rails</t>
  </si>
  <si>
    <t>Halbrundschraube M5x14</t>
  </si>
  <si>
    <t>-</t>
  </si>
  <si>
    <r>
      <rPr>
        <sz val="10"/>
        <color theme="1"/>
        <rFont val="Arial"/>
      </rPr>
      <t xml:space="preserve">*Achtung: </t>
    </r>
    <r>
      <rPr>
        <sz val="6"/>
        <color theme="1"/>
        <rFont val="Arial"/>
      </rPr>
      <t>nur für Ratrig verbinder teile so viele!</t>
    </r>
  </si>
  <si>
    <t>HammerNut 8 M6, verzinkt</t>
  </si>
  <si>
    <t>Handgriff PA 120 schwarz</t>
  </si>
  <si>
    <t>RatRig Bestellung!</t>
  </si>
  <si>
    <r>
      <rPr>
        <strike/>
        <sz val="10"/>
        <color theme="1"/>
        <rFont val="Arial"/>
      </rPr>
      <t xml:space="preserve">T-NUT - DropIn 4040 SERIES - </t>
    </r>
    <r>
      <rPr>
        <b/>
        <strike/>
        <sz val="10"/>
        <color theme="1"/>
        <rFont val="Arial"/>
      </rPr>
      <t>M8</t>
    </r>
  </si>
  <si>
    <t>90° M8 Winkelverbinder 8er Baureihe 40x40</t>
  </si>
  <si>
    <r>
      <rPr>
        <sz val="10"/>
        <color theme="1"/>
        <rFont val="Arial"/>
      </rPr>
      <t xml:space="preserve">Ratrig: ~ 2,10€
ITEM: 5,32€
=&gt; </t>
    </r>
    <r>
      <rPr>
        <b/>
        <sz val="10"/>
        <color theme="1"/>
        <rFont val="Arial"/>
      </rPr>
      <t>+3,23€ pro stk.</t>
    </r>
  </si>
  <si>
    <t>für neue X-Achse
*ausprobieren</t>
  </si>
  <si>
    <t>Nutenstein 8 M6 (schwer)</t>
  </si>
  <si>
    <t>2 bis 4</t>
  </si>
  <si>
    <t>Knotenblechsatz 8 40 120x120-90°</t>
  </si>
  <si>
    <r>
      <rPr>
        <sz val="10"/>
        <color theme="1"/>
        <rFont val="Arial"/>
      </rPr>
      <t>Ratrig: ~ 5,50€ [</t>
    </r>
    <r>
      <rPr>
        <i/>
        <sz val="10"/>
        <color theme="1"/>
        <rFont val="Arial"/>
      </rPr>
      <t>3030 technik!</t>
    </r>
    <r>
      <rPr>
        <sz val="10"/>
        <color theme="1"/>
        <rFont val="Arial"/>
      </rPr>
      <t xml:space="preserve">]
ITEM: 10,44€
=&gt; </t>
    </r>
    <r>
      <rPr>
        <b/>
        <sz val="10"/>
        <color theme="1"/>
        <rFont val="Arial"/>
      </rPr>
      <t>+4,94€ pro stk.</t>
    </r>
  </si>
  <si>
    <t>*ausprobieren</t>
  </si>
  <si>
    <t>Nutenstein 8 M6 (standard)</t>
  </si>
  <si>
    <t>variabel</t>
  </si>
  <si>
    <t>Knotenblechsatz 8 40 200x120-180°</t>
  </si>
  <si>
    <r>
      <rPr>
        <sz val="10"/>
        <color theme="1"/>
        <rFont val="Arial"/>
      </rPr>
      <t xml:space="preserve">Ratrig: ~ 5,70€
ITEM: 14,45€
=&gt; </t>
    </r>
    <r>
      <rPr>
        <b/>
        <sz val="10"/>
        <color theme="1"/>
        <rFont val="Arial"/>
      </rPr>
      <t>+8,75€ pro stk.</t>
    </r>
  </si>
  <si>
    <t>Für Neue X-Achse</t>
  </si>
  <si>
    <t>Nutenstein 8 M8 (schwer)</t>
  </si>
  <si>
    <t>Stand 15.1.24, 13:45</t>
  </si>
  <si>
    <t>Stand 23.1.24</t>
  </si>
  <si>
    <t>ITEM Vorbestellung 23.01.24 @Dominik</t>
  </si>
  <si>
    <t>Preis (€p.p.*Bestellen)</t>
  </si>
  <si>
    <t>Zylinderschraube DIN912 M3x12</t>
  </si>
  <si>
    <t>Zylinderschraube DIN912 M6x20</t>
  </si>
  <si>
    <t>Zylinderschraube DIN912 M3x18</t>
  </si>
  <si>
    <t>Zylinderschraube DIN912 M6x16</t>
  </si>
  <si>
    <t>Zylinderschraube DIN912 M3x8</t>
  </si>
  <si>
    <t>Zylinderschraube DIN912 M3x20</t>
  </si>
  <si>
    <t>Gesamtpreis</t>
  </si>
  <si>
    <t>Gesamtkosten Vorbestellung:</t>
  </si>
  <si>
    <t>RatRig Bestellung</t>
  </si>
  <si>
    <t>Name</t>
  </si>
  <si>
    <t>@Dominik 09.01.24</t>
  </si>
  <si>
    <t>T-SLOT 4040 - BLACK ANODIZED 1500MM</t>
  </si>
  <si>
    <t>T-SLOT 4040 - BLACK - CUSTOM SIZE CUT 640mm - no Tapping</t>
  </si>
  <si>
    <t>BRACKET - CAST 90 DEGREE CORNER FOR 4040 - 8 SLOT - BLACK</t>
  </si>
  <si>
    <r>
      <rPr>
        <sz val="10"/>
        <color theme="1"/>
        <rFont val="Arial"/>
      </rPr>
      <t xml:space="preserve">NEMA 17 STEPPER MOTOR - LDO 1.8º/STEP - VERSION1 48MM </t>
    </r>
    <r>
      <rPr>
        <b/>
        <sz val="10"/>
        <color rgb="FFFF0000"/>
        <rFont val="Arial"/>
      </rPr>
      <t>+</t>
    </r>
    <r>
      <rPr>
        <sz val="10"/>
        <color rgb="FFFF0000"/>
        <rFont val="Arial"/>
      </rPr>
      <t xml:space="preserve"> CABLE1 X CABLE 1500MM - 4 CONDUCTOR 24AWG</t>
    </r>
  </si>
  <si>
    <t>JOINING PLATE FOR 3030 - 90 DEGREE - BLACK ANODIZED</t>
  </si>
  <si>
    <t>JOINING PLATE FOR 3030 - T - BLACK ANODIZED</t>
  </si>
  <si>
    <r>
      <rPr>
        <sz val="10"/>
        <color theme="1"/>
        <rFont val="Arial"/>
      </rPr>
      <t xml:space="preserve">BIGTREETECH SKRAT V1.0 MOTHERBOARD </t>
    </r>
    <r>
      <rPr>
        <b/>
        <sz val="10"/>
        <color rgb="FFFF0000"/>
        <rFont val="Arial"/>
      </rPr>
      <t>+</t>
    </r>
    <r>
      <rPr>
        <sz val="10"/>
        <color rgb="FFFF0000"/>
        <rFont val="Arial"/>
      </rPr>
      <t xml:space="preserve"> 5 X BIGTREETECH TMC2209 DRIVER €5.18</t>
    </r>
  </si>
  <si>
    <t>RASPBERRY PI 4 B</t>
  </si>
  <si>
    <t>THRUST BEARING F8-16M</t>
  </si>
  <si>
    <t>MAGNET - NEODYMIUM DISC SHAPE - 10MM X 4MM</t>
  </si>
  <si>
    <t>COUNTERSINK SCREW M3 (SINGLE) (LENGTH: 20MM)</t>
  </si>
  <si>
    <t>HEX LOCKING NUT - M3</t>
  </si>
  <si>
    <t>CAP HEAD SCREW M3 (SINGLE) (LENGTH: 22MM)</t>
  </si>
  <si>
    <t>LEAD SCREW - TR8*8 METRIC ACME LEAD SCREW - 1057MM</t>
  </si>
  <si>
    <t>LINEAR RAIL - MGN15 1000MM + 2 X MGN15C CARRIAGE</t>
  </si>
  <si>
    <r>
      <rPr>
        <b/>
        <sz val="10"/>
        <color rgb="FFFF0000"/>
        <rFont val="Arial"/>
      </rPr>
      <t xml:space="preserve">Anfügen: T-NUT - </t>
    </r>
    <r>
      <rPr>
        <b/>
        <u/>
        <sz val="10"/>
        <color rgb="FF1155CC"/>
        <rFont val="Arial"/>
      </rPr>
      <t xml:space="preserve">DROP IN TYPE FOR 40 SERIES - M8 </t>
    </r>
    <r>
      <rPr>
        <b/>
        <sz val="10"/>
        <color rgb="FFFF0000"/>
        <rFont val="Arial"/>
      </rPr>
      <t>// für tests an profilen!</t>
    </r>
  </si>
  <si>
    <t>@dominik</t>
  </si>
  <si>
    <t>Vergessen:</t>
  </si>
  <si>
    <t>Rigid type Kupplung!</t>
  </si>
  <si>
    <t>Panel Dimensions</t>
  </si>
  <si>
    <t xml:space="preserve">Height [mm] </t>
  </si>
  <si>
    <t>Width [mm]</t>
  </si>
  <si>
    <t>Number used</t>
  </si>
  <si>
    <t>(Docu) Part Name</t>
  </si>
  <si>
    <t>Part Location(s)</t>
  </si>
  <si>
    <r>
      <t>Parts-Output</t>
    </r>
    <r>
      <rPr>
        <b/>
        <i/>
        <sz val="10"/>
        <color theme="1"/>
        <rFont val="Arial"/>
        <family val="2"/>
        <scheme val="minor"/>
      </rPr>
      <t xml:space="preserve"> per panel</t>
    </r>
  </si>
  <si>
    <t>2* SidePanel L/R top</t>
  </si>
  <si>
    <t>2* SidePlanel L/R bottom</t>
  </si>
  <si>
    <t>1* FrontPanel bottom</t>
  </si>
  <si>
    <t>1* TopPanel/Ceiling</t>
  </si>
  <si>
    <t>1* RearPanel Top</t>
  </si>
  <si>
    <t>2*BackPanel (incl. 1* HF Anpassung)]</t>
  </si>
  <si>
    <t>1* FrontPanel Top</t>
  </si>
  <si>
    <t>1* Electronics Panel (Rear)</t>
  </si>
  <si>
    <t>Ordering</t>
  </si>
  <si>
    <t>Postprocessing</t>
  </si>
  <si>
    <t>2 SVGs: "1xBackUntenNormal_1xBackUntenHF_565x620","2xBackUntenNormal_565x620"</t>
  </si>
  <si>
    <t>1 SVG: "2xSidePanel_Top_LR_600x805"</t>
  </si>
  <si>
    <t>2 SVGs: "2xSidePanel_Bottom_Left_720x1230","2xSidePanel_Bottom_Right_720x1230"</t>
  </si>
  <si>
    <t>2 SVGs: "1xFrontPanel_Bottom620_730","1xFrontPanel_Middle_620x730"</t>
  </si>
  <si>
    <t>1 SVG: "1xTopPanel_700x730"</t>
  </si>
  <si>
    <t>1 SVG: "1xRearTopPanel_350x650"</t>
  </si>
  <si>
    <t>1 SVG: "1xFrontPanel_Top_305x730"</t>
  </si>
  <si>
    <t>Total Cost:</t>
  </si>
  <si>
    <t>Part</t>
  </si>
  <si>
    <t>Number</t>
  </si>
  <si>
    <t>Cost p.P.</t>
  </si>
  <si>
    <t>Entry Cost</t>
  </si>
  <si>
    <t>Cost p. Pack</t>
  </si>
  <si>
    <t>Number Packs</t>
  </si>
  <si>
    <t>Pack Size</t>
  </si>
  <si>
    <t>Required Number</t>
  </si>
  <si>
    <t>Part ID</t>
  </si>
  <si>
    <t>ITEM ID</t>
  </si>
  <si>
    <t>Order, Feb 2024</t>
  </si>
  <si>
    <t>Link DXF SVG converter:</t>
  </si>
  <si>
    <t>Postprocessing:</t>
  </si>
  <si>
    <t>Lasercutter, Trotec Speedy SP500</t>
  </si>
  <si>
    <t>Working Area (W x D): 1245 x 710 [mm2] // Load Area (W x D): 1420 x 820 [mm2]</t>
  </si>
  <si>
    <t>1 SVG: "1xElectronicsPanel_220x675"</t>
  </si>
  <si>
    <r>
      <t>SVG File names (</t>
    </r>
    <r>
      <rPr>
        <i/>
        <sz val="10"/>
        <color theme="1"/>
        <rFont val="Arial"/>
        <family val="2"/>
        <scheme val="minor"/>
      </rPr>
      <t>Filelocation: *\CAD_and_Manufacturing\Enclosure_LaserCut_SVGs</t>
    </r>
    <r>
      <rPr>
        <sz val="10"/>
        <color theme="1"/>
        <rFont val="Arial"/>
        <family val="2"/>
        <scheme val="minor"/>
      </rPr>
      <t>)</t>
    </r>
  </si>
  <si>
    <t>Price p.P.</t>
  </si>
  <si>
    <r>
      <rPr>
        <b/>
        <u/>
        <sz val="10"/>
        <color theme="10"/>
        <rFont val="Arial"/>
        <family val="2"/>
        <scheme val="minor"/>
      </rPr>
      <t>Order:</t>
    </r>
    <r>
      <rPr>
        <u/>
        <sz val="10"/>
        <color theme="10"/>
        <rFont val="Arial"/>
        <scheme val="minor"/>
      </rPr>
      <t xml:space="preserve"> PLEXIGLAS® GS orange 3mm</t>
    </r>
  </si>
  <si>
    <t>2* FrontPanel bottom</t>
  </si>
  <si>
    <t>1* FrontPanel top</t>
  </si>
  <si>
    <t>4* SidePanel L/R bottom</t>
  </si>
  <si>
    <t>Base plate
(AUT)</t>
  </si>
  <si>
    <t>Top L/R</t>
  </si>
  <si>
    <t>Top Front/Rear</t>
  </si>
  <si>
    <t>Mid L/R</t>
  </si>
  <si>
    <t>Mid Front</t>
  </si>
  <si>
    <t>Bottom L/R</t>
  </si>
  <si>
    <t>Bottom Front</t>
  </si>
  <si>
    <t>Rear Panels</t>
  </si>
  <si>
    <t>For highly directive antenne most crucial</t>
  </si>
  <si>
    <t>X-gantry downside</t>
  </si>
  <si>
    <t>*Absorbers must be laid out around AUT</t>
  </si>
  <si>
    <t>Total Area
[cm^2]</t>
  </si>
  <si>
    <t>Sum of all Areas</t>
  </si>
  <si>
    <t>Area
Width [mm]</t>
  </si>
  <si>
    <t>Area
 Height [mm]</t>
  </si>
  <si>
    <t>Top/Ceiling</t>
  </si>
  <si>
    <t>Absorber-Installation-Area</t>
  </si>
  <si>
    <t>[mm]</t>
  </si>
  <si>
    <t>number</t>
  </si>
  <si>
    <t>[m^2]</t>
  </si>
  <si>
    <t>Cost per m^2:</t>
  </si>
  <si>
    <t>[€/m^2]</t>
  </si>
  <si>
    <t>Enclosure Total Area:</t>
  </si>
  <si>
    <t>EURO</t>
  </si>
  <si>
    <r>
      <rPr>
        <b/>
        <u/>
        <sz val="10"/>
        <color theme="10"/>
        <rFont val="Arial"/>
        <family val="2"/>
        <scheme val="minor"/>
      </rPr>
      <t>Source:</t>
    </r>
    <r>
      <rPr>
        <u/>
        <sz val="10"/>
        <color theme="10"/>
        <rFont val="Arial"/>
        <scheme val="minor"/>
      </rPr>
      <t xml:space="preserve"> JLC PCB</t>
    </r>
  </si>
  <si>
    <t>Material</t>
  </si>
  <si>
    <r>
      <rPr>
        <b/>
        <sz val="10"/>
        <color rgb="FF000000"/>
        <rFont val="Arial"/>
        <family val="2"/>
        <scheme val="minor"/>
      </rPr>
      <t>Source:</t>
    </r>
    <r>
      <rPr>
        <sz val="10"/>
        <color rgb="FF000000"/>
        <rFont val="Arial"/>
        <family val="2"/>
        <scheme val="minor"/>
      </rPr>
      <t xml:space="preserve"> Own Manufacturing</t>
    </r>
  </si>
  <si>
    <r>
      <rPr>
        <b/>
        <u/>
        <sz val="10"/>
        <color theme="1"/>
        <rFont val="Arial"/>
        <family val="2"/>
        <scheme val="minor"/>
      </rPr>
      <t>File</t>
    </r>
    <r>
      <rPr>
        <u/>
        <sz val="10"/>
        <color theme="1"/>
        <rFont val="Arial"/>
        <family val="2"/>
        <scheme val="minor"/>
      </rPr>
      <t xml:space="preserve"> </t>
    </r>
    <r>
      <rPr>
        <i/>
        <u/>
        <sz val="10"/>
        <color theme="1"/>
        <rFont val="Arial"/>
        <family val="2"/>
        <scheme val="minor"/>
      </rPr>
      <t>(Location: *\CAD_and_Manufacturing\3D_Printed_Parts\...)</t>
    </r>
  </si>
  <si>
    <t>Base Plate Arm Rear</t>
  </si>
  <si>
    <t>Base Plate Arm Left</t>
  </si>
  <si>
    <t>Base Plate Arm Right</t>
  </si>
  <si>
    <t>Leadscrew Constraint Front</t>
  </si>
  <si>
    <t>Leadscrew Constraint Rear</t>
  </si>
  <si>
    <t>Leadscrew Motorcage Rear</t>
  </si>
  <si>
    <t>Leadscrew Motorcage Front</t>
  </si>
  <si>
    <t>Enclosure Connector Frame - 90deg</t>
  </si>
  <si>
    <t>Enclosure Connector Frame - Straight</t>
  </si>
  <si>
    <t>Enclosure Connector Panel</t>
  </si>
  <si>
    <t>XY Idler Left</t>
  </si>
  <si>
    <t>XY Idler Right</t>
  </si>
  <si>
    <t>XY X-gantry Joiner Left</t>
  </si>
  <si>
    <t>XY X-gantry Joiner Right</t>
  </si>
  <si>
    <t>XY Motorcage Left</t>
  </si>
  <si>
    <t>XY Motorcage Right</t>
  </si>
  <si>
    <t>BedArmLeft_x1.stl</t>
  </si>
  <si>
    <t>LeadscrewMotorcageFront_x2.stl</t>
  </si>
  <si>
    <t>LeadscrewConstrFront_x2.stl</t>
  </si>
  <si>
    <t>ABS</t>
  </si>
  <si>
    <t>PLA</t>
  </si>
  <si>
    <t>MagnetFrameStraight_PLA_x27-51.stl</t>
  </si>
  <si>
    <t>MagnetFrame90deg_PLA_x19-26.stl</t>
  </si>
  <si>
    <t>8111X Resin</t>
  </si>
  <si>
    <t>MagnetPanelSide_Resin_x46-77.stl</t>
  </si>
  <si>
    <t>XYMotorcageRight_x1.stl</t>
  </si>
  <si>
    <t>XYMotorcageLeft_x1.stl</t>
  </si>
  <si>
    <t>XYJoinerRight_x1.stl</t>
  </si>
  <si>
    <t>XYJoinerLeft_x1.stl</t>
  </si>
  <si>
    <t>XYIdlerRight_x1.stl</t>
  </si>
  <si>
    <t>XYIdlerLeft_x1.stl</t>
  </si>
  <si>
    <t>LeadscrewMotorcageBack_x1.stl</t>
  </si>
  <si>
    <t>LeadscrewConstrRear_x1.stl</t>
  </si>
  <si>
    <t xml:space="preserve">BedArmRight_x1.stl </t>
  </si>
  <si>
    <t>BedArmBack_x1.stl</t>
  </si>
  <si>
    <t>Probe head</t>
  </si>
  <si>
    <t>Resin</t>
  </si>
  <si>
    <t>Clear Resin</t>
  </si>
  <si>
    <t>Schraubenhalter (Screw Holder)</t>
  </si>
  <si>
    <t>Core XY belt grabber</t>
  </si>
  <si>
    <t>Modulhalter</t>
  </si>
  <si>
    <t>HF Cable bushing rear (base + top)</t>
  </si>
  <si>
    <t>HF Cable bushing top (base + top)</t>
  </si>
  <si>
    <t>X-limit-switch Fixture</t>
  </si>
  <si>
    <t>Y-limit-switch Fixture (2 parts)</t>
  </si>
  <si>
    <t>PLA/Resin</t>
  </si>
  <si>
    <t>export from overall step</t>
  </si>
  <si>
    <t>BL-Touch Plug/Connector fixture</t>
  </si>
  <si>
    <t>Probe head module plate BL-Touch</t>
  </si>
  <si>
    <t>BTT Octopus V1.1 Motherboard</t>
  </si>
  <si>
    <t>Raspberry Pi 4 B, 2GB Memory</t>
  </si>
  <si>
    <t>RatRig</t>
  </si>
  <si>
    <t>Conrad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</si>
</sst>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1]_-;\-* #,##0.00\ [$€-1]_-;_-* &quot;-&quot;??\ [$€-1]_-;_-@"/>
    <numFmt numFmtId="165" formatCode="#,##0.00\ &quot;€&quot;"/>
    <numFmt numFmtId="166" formatCode="_-[$$-409]* #,##0.00_ ;_-[$$-409]* \-#,##0.00\ ;_-[$$-409]* &quot;-&quot;??_ ;_-@_ "/>
  </numFmts>
  <fonts count="56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u/>
      <sz val="10"/>
      <color rgb="FF0000FF"/>
      <name val="Arial"/>
    </font>
    <font>
      <b/>
      <u/>
      <sz val="13"/>
      <color rgb="FF0000FF"/>
      <name val="Arial"/>
    </font>
    <font>
      <i/>
      <sz val="10"/>
      <color theme="1"/>
      <name val="Arial"/>
      <scheme val="minor"/>
    </font>
    <font>
      <b/>
      <sz val="12"/>
      <color rgb="FF38761D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trike/>
      <sz val="10"/>
      <color theme="1"/>
      <name val="Arial"/>
      <scheme val="minor"/>
    </font>
    <font>
      <strike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theme="1"/>
      <name val="Arial"/>
      <scheme val="minor"/>
    </font>
    <font>
      <b/>
      <u/>
      <sz val="10"/>
      <color rgb="FFFF0000"/>
      <name val="Arial"/>
    </font>
    <font>
      <b/>
      <u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u/>
      <sz val="10"/>
      <color rgb="FF1155CC"/>
      <name val="Arial"/>
    </font>
    <font>
      <sz val="6"/>
      <color theme="1"/>
      <name val="Arial"/>
    </font>
    <font>
      <strike/>
      <sz val="10"/>
      <color theme="1"/>
      <name val="Arial"/>
    </font>
    <font>
      <b/>
      <strike/>
      <sz val="10"/>
      <color theme="1"/>
      <name val="Arial"/>
    </font>
    <font>
      <i/>
      <sz val="10"/>
      <color theme="1"/>
      <name val="Arial"/>
    </font>
    <font>
      <b/>
      <sz val="10"/>
      <color rgb="FFFF0000"/>
      <name val="Arial"/>
    </font>
    <font>
      <sz val="10"/>
      <color rgb="FFFF0000"/>
      <name val="Arial"/>
    </font>
    <font>
      <u/>
      <sz val="10"/>
      <color theme="1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9"/>
      <color indexed="81"/>
      <name val="Segoe UI"/>
      <family val="2"/>
    </font>
    <font>
      <b/>
      <sz val="12"/>
      <color rgb="FF38761D"/>
      <name val="Arial"/>
      <family val="2"/>
      <scheme val="minor"/>
    </font>
    <font>
      <sz val="10"/>
      <name val="Arial"/>
      <family val="2"/>
      <scheme val="minor"/>
    </font>
    <font>
      <b/>
      <u/>
      <sz val="10"/>
      <color theme="10"/>
      <name val="Arial"/>
      <family val="2"/>
      <scheme val="minor"/>
    </font>
    <font>
      <u/>
      <sz val="10"/>
      <color theme="1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3"/>
      <color theme="1"/>
      <name val="Arial"/>
      <family val="2"/>
      <scheme val="minor"/>
    </font>
    <font>
      <i/>
      <u/>
      <sz val="10"/>
      <color theme="1"/>
      <name val="Arial"/>
      <family val="2"/>
      <scheme val="minor"/>
    </font>
    <font>
      <b/>
      <sz val="9"/>
      <color indexed="81"/>
      <name val="Segoe UI"/>
      <family val="2"/>
    </font>
    <font>
      <i/>
      <sz val="10"/>
      <name val="Arial"/>
      <family val="2"/>
    </font>
    <font>
      <i/>
      <sz val="1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EFEFEF"/>
      </patternFill>
    </fill>
    <fill>
      <patternFill patternType="solid">
        <fgColor theme="7" tint="0.39997558519241921"/>
        <bgColor rgb="FF93C47D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59999389629810485"/>
        <bgColor indexed="64"/>
      </patternFill>
    </fill>
  </fills>
  <borders count="114">
    <border>
      <left/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 style="thin">
        <color rgb="FF000000"/>
      </right>
      <top style="dotted">
        <color rgb="FF000000"/>
      </top>
      <bottom style="thick">
        <color rgb="FF000000"/>
      </bottom>
      <diagonal/>
    </border>
    <border>
      <left/>
      <right/>
      <top style="dotted">
        <color rgb="FF000000"/>
      </top>
      <bottom style="thick">
        <color rgb="FF000000"/>
      </bottom>
      <diagonal/>
    </border>
    <border>
      <left/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28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2" fillId="3" borderId="0" xfId="0" applyFont="1" applyFill="1"/>
    <xf numFmtId="0" fontId="1" fillId="3" borderId="0" xfId="0" applyFont="1" applyFill="1"/>
    <xf numFmtId="0" fontId="3" fillId="3" borderId="0" xfId="0" applyFont="1" applyFill="1"/>
    <xf numFmtId="0" fontId="5" fillId="0" borderId="0" xfId="0" applyFont="1"/>
    <xf numFmtId="0" fontId="6" fillId="2" borderId="0" xfId="0" applyFont="1" applyFill="1"/>
    <xf numFmtId="0" fontId="3" fillId="8" borderId="0" xfId="0" applyFont="1" applyFill="1"/>
    <xf numFmtId="0" fontId="9" fillId="3" borderId="0" xfId="0" applyFont="1" applyFill="1"/>
    <xf numFmtId="0" fontId="8" fillId="3" borderId="0" xfId="0" applyFont="1" applyFill="1"/>
    <xf numFmtId="0" fontId="10" fillId="8" borderId="0" xfId="0" applyFont="1" applyFill="1"/>
    <xf numFmtId="0" fontId="2" fillId="2" borderId="0" xfId="0" applyFont="1" applyFill="1" applyAlignment="1">
      <alignment wrapText="1"/>
    </xf>
    <xf numFmtId="0" fontId="3" fillId="11" borderId="12" xfId="0" applyFont="1" applyFill="1" applyBorder="1"/>
    <xf numFmtId="0" fontId="3" fillId="11" borderId="13" xfId="0" applyFont="1" applyFill="1" applyBorder="1"/>
    <xf numFmtId="0" fontId="3" fillId="11" borderId="14" xfId="0" applyFont="1" applyFill="1" applyBorder="1"/>
    <xf numFmtId="0" fontId="3" fillId="11" borderId="15" xfId="0" applyFont="1" applyFill="1" applyBorder="1"/>
    <xf numFmtId="0" fontId="2" fillId="11" borderId="13" xfId="0" applyFont="1" applyFill="1" applyBorder="1"/>
    <xf numFmtId="0" fontId="2" fillId="11" borderId="16" xfId="0" applyFont="1" applyFill="1" applyBorder="1"/>
    <xf numFmtId="0" fontId="2" fillId="11" borderId="12" xfId="0" applyFont="1" applyFill="1" applyBorder="1" applyAlignment="1">
      <alignment wrapText="1"/>
    </xf>
    <xf numFmtId="0" fontId="2" fillId="11" borderId="16" xfId="0" applyFont="1" applyFill="1" applyBorder="1" applyAlignment="1">
      <alignment wrapText="1"/>
    </xf>
    <xf numFmtId="0" fontId="14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10" xfId="0" applyFont="1" applyBorder="1"/>
    <xf numFmtId="0" fontId="3" fillId="0" borderId="23" xfId="0" applyFont="1" applyBorder="1"/>
    <xf numFmtId="0" fontId="3" fillId="0" borderId="18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17" xfId="0" applyFont="1" applyBorder="1"/>
    <xf numFmtId="0" fontId="15" fillId="0" borderId="24" xfId="0" applyFont="1" applyBorder="1"/>
    <xf numFmtId="0" fontId="2" fillId="0" borderId="25" xfId="0" applyFont="1" applyBorder="1"/>
    <xf numFmtId="164" fontId="2" fillId="0" borderId="26" xfId="0" applyNumberFormat="1" applyFont="1" applyBorder="1"/>
    <xf numFmtId="0" fontId="2" fillId="0" borderId="27" xfId="0" applyFont="1" applyBorder="1"/>
    <xf numFmtId="0" fontId="16" fillId="0" borderId="24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26" xfId="0" applyFont="1" applyBorder="1"/>
    <xf numFmtId="0" fontId="2" fillId="0" borderId="17" xfId="0" applyFont="1" applyBorder="1"/>
    <xf numFmtId="0" fontId="2" fillId="0" borderId="28" xfId="0" applyFont="1" applyBorder="1"/>
    <xf numFmtId="0" fontId="2" fillId="10" borderId="0" xfId="0" applyFont="1" applyFill="1" applyAlignment="1">
      <alignment wrapText="1"/>
    </xf>
    <xf numFmtId="0" fontId="17" fillId="10" borderId="24" xfId="0" applyFont="1" applyFill="1" applyBorder="1" applyAlignment="1">
      <alignment wrapText="1"/>
    </xf>
    <xf numFmtId="0" fontId="2" fillId="10" borderId="29" xfId="0" applyFont="1" applyFill="1" applyBorder="1" applyAlignment="1">
      <alignment wrapText="1"/>
    </xf>
    <xf numFmtId="0" fontId="2" fillId="10" borderId="26" xfId="0" applyFont="1" applyFill="1" applyBorder="1"/>
    <xf numFmtId="0" fontId="2" fillId="10" borderId="27" xfId="0" applyFont="1" applyFill="1" applyBorder="1"/>
    <xf numFmtId="0" fontId="18" fillId="10" borderId="0" xfId="0" applyFont="1" applyFill="1" applyAlignment="1">
      <alignment wrapText="1"/>
    </xf>
    <xf numFmtId="0" fontId="19" fillId="10" borderId="30" xfId="0" applyFont="1" applyFill="1" applyBorder="1" applyAlignment="1">
      <alignment wrapText="1"/>
    </xf>
    <xf numFmtId="0" fontId="19" fillId="10" borderId="29" xfId="0" applyFont="1" applyFill="1" applyBorder="1" applyAlignment="1">
      <alignment wrapText="1"/>
    </xf>
    <xf numFmtId="0" fontId="19" fillId="10" borderId="26" xfId="0" applyFont="1" applyFill="1" applyBorder="1"/>
    <xf numFmtId="0" fontId="19" fillId="10" borderId="27" xfId="0" applyFont="1" applyFill="1" applyBorder="1"/>
    <xf numFmtId="0" fontId="19" fillId="0" borderId="27" xfId="0" applyFont="1" applyBorder="1"/>
    <xf numFmtId="0" fontId="20" fillId="3" borderId="30" xfId="0" applyFont="1" applyFill="1" applyBorder="1" applyAlignment="1">
      <alignment wrapText="1"/>
    </xf>
    <xf numFmtId="0" fontId="2" fillId="0" borderId="29" xfId="0" applyFont="1" applyBorder="1" applyAlignment="1">
      <alignment wrapText="1"/>
    </xf>
    <xf numFmtId="0" fontId="21" fillId="0" borderId="30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3" fillId="12" borderId="28" xfId="0" applyFont="1" applyFill="1" applyBorder="1"/>
    <xf numFmtId="0" fontId="2" fillId="0" borderId="24" xfId="0" applyFont="1" applyBorder="1"/>
    <xf numFmtId="0" fontId="2" fillId="0" borderId="30" xfId="0" applyFont="1" applyBorder="1" applyAlignment="1">
      <alignment wrapText="1"/>
    </xf>
    <xf numFmtId="0" fontId="2" fillId="0" borderId="31" xfId="0" applyFont="1" applyBorder="1"/>
    <xf numFmtId="0" fontId="2" fillId="0" borderId="32" xfId="0" applyFont="1" applyBorder="1"/>
    <xf numFmtId="164" fontId="2" fillId="0" borderId="33" xfId="0" applyNumberFormat="1" applyFont="1" applyBorder="1"/>
    <xf numFmtId="0" fontId="2" fillId="0" borderId="34" xfId="0" applyFont="1" applyBorder="1"/>
    <xf numFmtId="0" fontId="2" fillId="0" borderId="35" xfId="0" applyFont="1" applyBorder="1" applyAlignment="1">
      <alignment wrapText="1"/>
    </xf>
    <xf numFmtId="0" fontId="2" fillId="0" borderId="36" xfId="0" applyFont="1" applyBorder="1" applyAlignment="1">
      <alignment wrapText="1"/>
    </xf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 applyAlignment="1">
      <alignment wrapText="1"/>
    </xf>
    <xf numFmtId="0" fontId="2" fillId="0" borderId="38" xfId="0" applyFont="1" applyBorder="1" applyAlignment="1">
      <alignment wrapText="1"/>
    </xf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3" fillId="5" borderId="12" xfId="0" applyFont="1" applyFill="1" applyBorder="1"/>
    <xf numFmtId="0" fontId="3" fillId="5" borderId="13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0" fontId="2" fillId="5" borderId="13" xfId="0" applyFont="1" applyFill="1" applyBorder="1"/>
    <xf numFmtId="0" fontId="2" fillId="5" borderId="16" xfId="0" applyFont="1" applyFill="1" applyBorder="1"/>
    <xf numFmtId="0" fontId="3" fillId="5" borderId="12" xfId="0" applyFont="1" applyFill="1" applyBorder="1" applyAlignment="1">
      <alignment wrapText="1"/>
    </xf>
    <xf numFmtId="0" fontId="2" fillId="5" borderId="16" xfId="0" applyFont="1" applyFill="1" applyBorder="1" applyAlignment="1">
      <alignment wrapText="1"/>
    </xf>
    <xf numFmtId="164" fontId="2" fillId="0" borderId="27" xfId="0" applyNumberFormat="1" applyFont="1" applyBorder="1"/>
    <xf numFmtId="164" fontId="2" fillId="0" borderId="28" xfId="0" applyNumberFormat="1" applyFont="1" applyBorder="1"/>
    <xf numFmtId="0" fontId="2" fillId="0" borderId="26" xfId="0" applyFont="1" applyBorder="1" applyAlignment="1">
      <alignment wrapText="1"/>
    </xf>
    <xf numFmtId="164" fontId="2" fillId="0" borderId="28" xfId="0" applyNumberFormat="1" applyFont="1" applyBorder="1" applyAlignment="1">
      <alignment wrapText="1"/>
    </xf>
    <xf numFmtId="164" fontId="2" fillId="0" borderId="34" xfId="0" applyNumberFormat="1" applyFont="1" applyBorder="1"/>
    <xf numFmtId="0" fontId="2" fillId="0" borderId="43" xfId="0" applyFont="1" applyBorder="1" applyAlignment="1">
      <alignment wrapText="1"/>
    </xf>
    <xf numFmtId="0" fontId="2" fillId="0" borderId="44" xfId="0" applyFont="1" applyBorder="1" applyAlignment="1">
      <alignment wrapText="1"/>
    </xf>
    <xf numFmtId="0" fontId="2" fillId="0" borderId="33" xfId="0" applyFont="1" applyBorder="1"/>
    <xf numFmtId="0" fontId="2" fillId="0" borderId="31" xfId="0" applyFont="1" applyBorder="1" applyAlignment="1">
      <alignment wrapText="1"/>
    </xf>
    <xf numFmtId="0" fontId="2" fillId="0" borderId="34" xfId="0" applyFont="1" applyBorder="1" applyAlignment="1">
      <alignment wrapText="1"/>
    </xf>
    <xf numFmtId="0" fontId="22" fillId="8" borderId="45" xfId="0" applyFont="1" applyFill="1" applyBorder="1"/>
    <xf numFmtId="0" fontId="2" fillId="8" borderId="46" xfId="0" applyFont="1" applyFill="1" applyBorder="1"/>
    <xf numFmtId="164" fontId="2" fillId="8" borderId="47" xfId="0" applyNumberFormat="1" applyFont="1" applyFill="1" applyBorder="1"/>
    <xf numFmtId="0" fontId="3" fillId="5" borderId="48" xfId="0" applyFont="1" applyFill="1" applyBorder="1"/>
    <xf numFmtId="0" fontId="3" fillId="5" borderId="49" xfId="0" applyFont="1" applyFill="1" applyBorder="1"/>
    <xf numFmtId="0" fontId="2" fillId="5" borderId="49" xfId="0" applyFont="1" applyFill="1" applyBorder="1"/>
    <xf numFmtId="0" fontId="2" fillId="5" borderId="50" xfId="0" applyFont="1" applyFill="1" applyBorder="1"/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/>
    <xf numFmtId="0" fontId="2" fillId="0" borderId="56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0" fontId="2" fillId="0" borderId="61" xfId="0" applyFont="1" applyBorder="1"/>
    <xf numFmtId="0" fontId="2" fillId="0" borderId="62" xfId="0" applyFont="1" applyBorder="1"/>
    <xf numFmtId="0" fontId="23" fillId="0" borderId="0" xfId="0" applyFont="1"/>
    <xf numFmtId="0" fontId="24" fillId="0" borderId="0" xfId="0" applyFont="1"/>
    <xf numFmtId="0" fontId="2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7" fillId="0" borderId="0" xfId="0" applyFont="1"/>
    <xf numFmtId="0" fontId="7" fillId="0" borderId="0" xfId="0" applyFont="1"/>
    <xf numFmtId="0" fontId="39" fillId="13" borderId="64" xfId="0" applyFont="1" applyFill="1" applyBorder="1"/>
    <xf numFmtId="0" fontId="0" fillId="13" borderId="65" xfId="0" applyFill="1" applyBorder="1"/>
    <xf numFmtId="0" fontId="0" fillId="13" borderId="66" xfId="0" applyFill="1" applyBorder="1"/>
    <xf numFmtId="0" fontId="36" fillId="14" borderId="68" xfId="0" applyFont="1" applyFill="1" applyBorder="1"/>
    <xf numFmtId="0" fontId="35" fillId="14" borderId="72" xfId="0" applyFont="1" applyFill="1" applyBorder="1" applyAlignment="1">
      <alignment wrapText="1"/>
    </xf>
    <xf numFmtId="0" fontId="2" fillId="0" borderId="66" xfId="0" applyFont="1" applyBorder="1"/>
    <xf numFmtId="0" fontId="2" fillId="0" borderId="76" xfId="0" applyFont="1" applyBorder="1"/>
    <xf numFmtId="0" fontId="2" fillId="0" borderId="78" xfId="0" applyFont="1" applyBorder="1"/>
    <xf numFmtId="0" fontId="36" fillId="14" borderId="69" xfId="0" applyFont="1" applyFill="1" applyBorder="1"/>
    <xf numFmtId="0" fontId="40" fillId="14" borderId="70" xfId="0" applyFont="1" applyFill="1" applyBorder="1"/>
    <xf numFmtId="0" fontId="36" fillId="14" borderId="71" xfId="0" applyFont="1" applyFill="1" applyBorder="1"/>
    <xf numFmtId="0" fontId="2" fillId="0" borderId="79" xfId="0" applyFont="1" applyBorder="1"/>
    <xf numFmtId="0" fontId="2" fillId="0" borderId="80" xfId="0" applyFont="1" applyBorder="1"/>
    <xf numFmtId="0" fontId="2" fillId="0" borderId="71" xfId="0" applyFont="1" applyBorder="1"/>
    <xf numFmtId="0" fontId="42" fillId="0" borderId="0" xfId="0" applyFont="1"/>
    <xf numFmtId="0" fontId="41" fillId="4" borderId="88" xfId="0" applyFont="1" applyFill="1" applyBorder="1"/>
    <xf numFmtId="0" fontId="41" fillId="4" borderId="89" xfId="0" applyFont="1" applyFill="1" applyBorder="1"/>
    <xf numFmtId="0" fontId="42" fillId="4" borderId="90" xfId="0" applyFont="1" applyFill="1" applyBorder="1"/>
    <xf numFmtId="0" fontId="2" fillId="7" borderId="85" xfId="0" applyFont="1" applyFill="1" applyBorder="1" applyAlignment="1">
      <alignment horizontal="center"/>
    </xf>
    <xf numFmtId="0" fontId="2" fillId="7" borderId="88" xfId="0" applyFont="1" applyFill="1" applyBorder="1" applyAlignment="1">
      <alignment horizontal="center"/>
    </xf>
    <xf numFmtId="0" fontId="2" fillId="7" borderId="86" xfId="0" applyFont="1" applyFill="1" applyBorder="1" applyAlignment="1">
      <alignment horizontal="center"/>
    </xf>
    <xf numFmtId="0" fontId="2" fillId="7" borderId="89" xfId="0" applyFont="1" applyFill="1" applyBorder="1" applyAlignment="1">
      <alignment horizontal="center"/>
    </xf>
    <xf numFmtId="0" fontId="2" fillId="7" borderId="87" xfId="0" applyFont="1" applyFill="1" applyBorder="1" applyAlignment="1">
      <alignment horizontal="center"/>
    </xf>
    <xf numFmtId="0" fontId="2" fillId="7" borderId="90" xfId="0" applyFont="1" applyFill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42" fillId="6" borderId="88" xfId="0" applyFont="1" applyFill="1" applyBorder="1" applyAlignment="1">
      <alignment horizontal="left"/>
    </xf>
    <xf numFmtId="0" fontId="42" fillId="6" borderId="89" xfId="0" applyFont="1" applyFill="1" applyBorder="1" applyAlignment="1">
      <alignment horizontal="left"/>
    </xf>
    <xf numFmtId="0" fontId="42" fillId="6" borderId="90" xfId="0" applyFont="1" applyFill="1" applyBorder="1" applyAlignment="1">
      <alignment horizontal="left"/>
    </xf>
    <xf numFmtId="0" fontId="41" fillId="15" borderId="84" xfId="0" applyFont="1" applyFill="1" applyBorder="1"/>
    <xf numFmtId="0" fontId="42" fillId="16" borderId="84" xfId="0" applyFont="1" applyFill="1" applyBorder="1" applyAlignment="1">
      <alignment horizontal="center"/>
    </xf>
    <xf numFmtId="4" fontId="2" fillId="0" borderId="0" xfId="0" applyNumberFormat="1" applyFont="1"/>
    <xf numFmtId="164" fontId="2" fillId="0" borderId="0" xfId="0" applyNumberFormat="1" applyFont="1"/>
    <xf numFmtId="0" fontId="46" fillId="8" borderId="0" xfId="0" applyFont="1" applyFill="1"/>
    <xf numFmtId="0" fontId="12" fillId="2" borderId="76" xfId="0" applyFont="1" applyFill="1" applyBorder="1"/>
    <xf numFmtId="0" fontId="2" fillId="0" borderId="81" xfId="0" applyFont="1" applyBorder="1"/>
    <xf numFmtId="0" fontId="0" fillId="0" borderId="81" xfId="0" applyBorder="1"/>
    <xf numFmtId="0" fontId="2" fillId="2" borderId="76" xfId="0" applyFont="1" applyFill="1" applyBorder="1"/>
    <xf numFmtId="0" fontId="0" fillId="0" borderId="67" xfId="0" applyBorder="1"/>
    <xf numFmtId="0" fontId="0" fillId="0" borderId="68" xfId="0" applyBorder="1"/>
    <xf numFmtId="4" fontId="2" fillId="0" borderId="68" xfId="0" applyNumberFormat="1" applyFont="1" applyBorder="1"/>
    <xf numFmtId="164" fontId="2" fillId="0" borderId="68" xfId="0" applyNumberFormat="1" applyFont="1" applyBorder="1"/>
    <xf numFmtId="0" fontId="2" fillId="2" borderId="78" xfId="0" applyFont="1" applyFill="1" applyBorder="1"/>
    <xf numFmtId="0" fontId="3" fillId="9" borderId="63" xfId="0" applyFont="1" applyFill="1" applyBorder="1"/>
    <xf numFmtId="0" fontId="36" fillId="9" borderId="63" xfId="0" applyFont="1" applyFill="1" applyBorder="1"/>
    <xf numFmtId="0" fontId="36" fillId="9" borderId="63" xfId="0" applyFont="1" applyFill="1" applyBorder="1" applyAlignment="1">
      <alignment horizontal="center"/>
    </xf>
    <xf numFmtId="0" fontId="36" fillId="10" borderId="63" xfId="0" applyFont="1" applyFill="1" applyBorder="1"/>
    <xf numFmtId="164" fontId="3" fillId="10" borderId="63" xfId="0" applyNumberFormat="1" applyFont="1" applyFill="1" applyBorder="1"/>
    <xf numFmtId="0" fontId="11" fillId="2" borderId="63" xfId="0" applyFont="1" applyFill="1" applyBorder="1"/>
    <xf numFmtId="4" fontId="2" fillId="0" borderId="94" xfId="0" applyNumberFormat="1" applyFont="1" applyBorder="1"/>
    <xf numFmtId="164" fontId="2" fillId="0" borderId="94" xfId="0" applyNumberFormat="1" applyFont="1" applyBorder="1"/>
    <xf numFmtId="0" fontId="0" fillId="0" borderId="94" xfId="0" applyBorder="1"/>
    <xf numFmtId="0" fontId="0" fillId="0" borderId="93" xfId="0" applyBorder="1"/>
    <xf numFmtId="0" fontId="12" fillId="2" borderId="97" xfId="0" applyFont="1" applyFill="1" applyBorder="1"/>
    <xf numFmtId="0" fontId="2" fillId="2" borderId="97" xfId="0" applyFont="1" applyFill="1" applyBorder="1"/>
    <xf numFmtId="4" fontId="2" fillId="0" borderId="99" xfId="0" applyNumberFormat="1" applyFont="1" applyBorder="1"/>
    <xf numFmtId="164" fontId="2" fillId="0" borderId="99" xfId="0" applyNumberFormat="1" applyFont="1" applyBorder="1"/>
    <xf numFmtId="0" fontId="0" fillId="0" borderId="99" xfId="0" applyBorder="1"/>
    <xf numFmtId="0" fontId="2" fillId="0" borderId="103" xfId="0" applyFont="1" applyBorder="1"/>
    <xf numFmtId="0" fontId="0" fillId="0" borderId="103" xfId="0" applyBorder="1"/>
    <xf numFmtId="0" fontId="0" fillId="0" borderId="72" xfId="0" applyBorder="1"/>
    <xf numFmtId="0" fontId="36" fillId="9" borderId="63" xfId="0" applyFont="1" applyFill="1" applyBorder="1" applyAlignment="1">
      <alignment wrapText="1"/>
    </xf>
    <xf numFmtId="49" fontId="2" fillId="0" borderId="0" xfId="0" applyNumberFormat="1" applyFont="1"/>
    <xf numFmtId="0" fontId="13" fillId="2" borderId="76" xfId="0" applyFont="1" applyFill="1" applyBorder="1"/>
    <xf numFmtId="49" fontId="2" fillId="0" borderId="68" xfId="0" applyNumberFormat="1" applyFont="1" applyBorder="1"/>
    <xf numFmtId="49" fontId="36" fillId="9" borderId="63" xfId="0" applyNumberFormat="1" applyFont="1" applyFill="1" applyBorder="1"/>
    <xf numFmtId="0" fontId="34" fillId="0" borderId="0" xfId="1"/>
    <xf numFmtId="0" fontId="42" fillId="0" borderId="67" xfId="0" applyFont="1" applyBorder="1"/>
    <xf numFmtId="0" fontId="42" fillId="0" borderId="80" xfId="0" applyFont="1" applyBorder="1"/>
    <xf numFmtId="0" fontId="36" fillId="0" borderId="0" xfId="0" applyFont="1"/>
    <xf numFmtId="0" fontId="42" fillId="0" borderId="0" xfId="0" quotePrefix="1" applyFont="1" applyAlignment="1">
      <alignment wrapText="1"/>
    </xf>
    <xf numFmtId="0" fontId="2" fillId="17" borderId="1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2" fillId="17" borderId="4" xfId="0" applyFont="1" applyFill="1" applyBorder="1" applyAlignment="1">
      <alignment horizontal="center"/>
    </xf>
    <xf numFmtId="0" fontId="2" fillId="17" borderId="5" xfId="0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/>
    </xf>
    <xf numFmtId="0" fontId="51" fillId="2" borderId="0" xfId="0" applyFont="1" applyFill="1"/>
    <xf numFmtId="0" fontId="2" fillId="17" borderId="104" xfId="0" applyFont="1" applyFill="1" applyBorder="1" applyAlignment="1">
      <alignment horizontal="center"/>
    </xf>
    <xf numFmtId="0" fontId="2" fillId="17" borderId="105" xfId="0" applyFont="1" applyFill="1" applyBorder="1" applyAlignment="1">
      <alignment horizontal="center"/>
    </xf>
    <xf numFmtId="0" fontId="2" fillId="0" borderId="105" xfId="0" applyFont="1" applyBorder="1" applyAlignment="1">
      <alignment horizontal="center"/>
    </xf>
    <xf numFmtId="0" fontId="2" fillId="0" borderId="106" xfId="0" applyFont="1" applyBorder="1" applyAlignment="1">
      <alignment horizontal="center"/>
    </xf>
    <xf numFmtId="0" fontId="2" fillId="17" borderId="84" xfId="0" applyFont="1" applyFill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36" fillId="0" borderId="91" xfId="0" applyFont="1" applyBorder="1"/>
    <xf numFmtId="0" fontId="2" fillId="0" borderId="9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92" xfId="0" quotePrefix="1" applyFont="1" applyBorder="1"/>
    <xf numFmtId="0" fontId="2" fillId="0" borderId="83" xfId="0" applyFont="1" applyBorder="1"/>
    <xf numFmtId="0" fontId="3" fillId="18" borderId="91" xfId="0" applyFont="1" applyFill="1" applyBorder="1" applyAlignment="1">
      <alignment horizontal="center"/>
    </xf>
    <xf numFmtId="0" fontId="36" fillId="18" borderId="92" xfId="0" applyFont="1" applyFill="1" applyBorder="1" applyAlignment="1">
      <alignment horizontal="center"/>
    </xf>
    <xf numFmtId="0" fontId="36" fillId="18" borderId="92" xfId="0" applyFont="1" applyFill="1" applyBorder="1" applyAlignment="1">
      <alignment horizontal="center" wrapText="1"/>
    </xf>
    <xf numFmtId="0" fontId="36" fillId="18" borderId="63" xfId="0" applyFont="1" applyFill="1" applyBorder="1" applyAlignment="1">
      <alignment horizontal="center" wrapText="1"/>
    </xf>
    <xf numFmtId="0" fontId="43" fillId="13" borderId="82" xfId="0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0" fontId="38" fillId="19" borderId="67" xfId="0" applyFont="1" applyFill="1" applyBorder="1" applyAlignment="1">
      <alignment horizontal="right"/>
    </xf>
    <xf numFmtId="0" fontId="37" fillId="0" borderId="108" xfId="0" applyFont="1" applyBorder="1" applyAlignment="1">
      <alignment horizontal="right"/>
    </xf>
    <xf numFmtId="0" fontId="37" fillId="0" borderId="109" xfId="0" applyFont="1" applyBorder="1" applyAlignment="1">
      <alignment horizontal="right"/>
    </xf>
    <xf numFmtId="0" fontId="0" fillId="0" borderId="107" xfId="0" applyBorder="1" applyAlignment="1">
      <alignment horizontal="center"/>
    </xf>
    <xf numFmtId="0" fontId="0" fillId="0" borderId="94" xfId="0" applyBorder="1" applyAlignment="1">
      <alignment horizontal="center"/>
    </xf>
    <xf numFmtId="0" fontId="37" fillId="0" borderId="101" xfId="0" applyFont="1" applyBorder="1" applyAlignment="1">
      <alignment horizontal="center"/>
    </xf>
    <xf numFmtId="0" fontId="37" fillId="0" borderId="97" xfId="0" applyFont="1" applyBorder="1" applyAlignment="1">
      <alignment horizontal="center"/>
    </xf>
    <xf numFmtId="165" fontId="38" fillId="19" borderId="68" xfId="0" applyNumberFormat="1" applyFont="1" applyFill="1" applyBorder="1" applyAlignment="1">
      <alignment horizontal="center"/>
    </xf>
    <xf numFmtId="0" fontId="38" fillId="19" borderId="78" xfId="0" applyFont="1" applyFill="1" applyBorder="1" applyAlignment="1">
      <alignment horizontal="center"/>
    </xf>
    <xf numFmtId="0" fontId="49" fillId="8" borderId="0" xfId="1" applyFont="1" applyFill="1"/>
    <xf numFmtId="2" fontId="2" fillId="0" borderId="0" xfId="0" applyNumberFormat="1" applyFont="1"/>
    <xf numFmtId="2" fontId="2" fillId="0" borderId="68" xfId="0" applyNumberFormat="1" applyFont="1" applyBorder="1"/>
    <xf numFmtId="164" fontId="42" fillId="0" borderId="0" xfId="0" applyNumberFormat="1" applyFont="1"/>
    <xf numFmtId="0" fontId="0" fillId="20" borderId="0" xfId="0" applyFill="1"/>
    <xf numFmtId="0" fontId="37" fillId="20" borderId="0" xfId="0" applyFont="1" applyFill="1"/>
    <xf numFmtId="4" fontId="2" fillId="20" borderId="0" xfId="0" applyNumberFormat="1" applyFont="1" applyFill="1"/>
    <xf numFmtId="164" fontId="2" fillId="20" borderId="0" xfId="0" applyNumberFormat="1" applyFont="1" applyFill="1"/>
    <xf numFmtId="49" fontId="2" fillId="20" borderId="0" xfId="0" applyNumberFormat="1" applyFont="1" applyFill="1"/>
    <xf numFmtId="0" fontId="2" fillId="20" borderId="0" xfId="0" applyFont="1" applyFill="1"/>
    <xf numFmtId="0" fontId="44" fillId="2" borderId="63" xfId="0" applyFont="1" applyFill="1" applyBorder="1"/>
    <xf numFmtId="1" fontId="2" fillId="0" borderId="0" xfId="0" applyNumberFormat="1" applyFont="1"/>
    <xf numFmtId="1" fontId="2" fillId="0" borderId="68" xfId="0" applyNumberFormat="1" applyFont="1" applyBorder="1"/>
    <xf numFmtId="166" fontId="42" fillId="0" borderId="0" xfId="0" applyNumberFormat="1" applyFont="1"/>
    <xf numFmtId="166" fontId="2" fillId="0" borderId="0" xfId="0" applyNumberFormat="1" applyFont="1"/>
    <xf numFmtId="166" fontId="2" fillId="0" borderId="68" xfId="0" applyNumberFormat="1" applyFont="1" applyBorder="1"/>
    <xf numFmtId="166" fontId="3" fillId="10" borderId="63" xfId="0" applyNumberFormat="1" applyFont="1" applyFill="1" applyBorder="1"/>
    <xf numFmtId="0" fontId="54" fillId="2" borderId="76" xfId="0" applyFont="1" applyFill="1" applyBorder="1"/>
    <xf numFmtId="0" fontId="55" fillId="2" borderId="76" xfId="0" applyFont="1" applyFill="1" applyBorder="1"/>
    <xf numFmtId="0" fontId="55" fillId="2" borderId="78" xfId="0" applyFont="1" applyFill="1" applyBorder="1"/>
    <xf numFmtId="0" fontId="54" fillId="2" borderId="97" xfId="0" applyFont="1" applyFill="1" applyBorder="1"/>
    <xf numFmtId="0" fontId="0" fillId="0" borderId="95" xfId="0" applyBorder="1"/>
    <xf numFmtId="0" fontId="55" fillId="2" borderId="97" xfId="0" applyFont="1" applyFill="1" applyBorder="1"/>
    <xf numFmtId="0" fontId="0" fillId="0" borderId="110" xfId="0" applyBorder="1"/>
    <xf numFmtId="0" fontId="54" fillId="2" borderId="66" xfId="0" applyFont="1" applyFill="1" applyBorder="1"/>
    <xf numFmtId="0" fontId="54" fillId="2" borderId="111" xfId="0" applyFont="1" applyFill="1" applyBorder="1"/>
    <xf numFmtId="0" fontId="54" fillId="2" borderId="112" xfId="0" applyFont="1" applyFill="1" applyBorder="1"/>
    <xf numFmtId="0" fontId="55" fillId="2" borderId="113" xfId="0" applyFont="1" applyFill="1" applyBorder="1"/>
    <xf numFmtId="0" fontId="0" fillId="0" borderId="96" xfId="0" applyBorder="1"/>
    <xf numFmtId="49" fontId="42" fillId="0" borderId="0" xfId="0" applyNumberFormat="1" applyFont="1"/>
    <xf numFmtId="0" fontId="50" fillId="17" borderId="0" xfId="0" applyFont="1" applyFill="1" applyAlignment="1">
      <alignment horizontal="center" wrapText="1"/>
    </xf>
    <xf numFmtId="0" fontId="43" fillId="13" borderId="64" xfId="0" applyFont="1" applyFill="1" applyBorder="1" applyAlignment="1">
      <alignment horizontal="center"/>
    </xf>
    <xf numFmtId="0" fontId="43" fillId="13" borderId="65" xfId="0" applyFont="1" applyFill="1" applyBorder="1" applyAlignment="1">
      <alignment horizontal="center"/>
    </xf>
    <xf numFmtId="0" fontId="49" fillId="15" borderId="0" xfId="1" applyFont="1" applyFill="1" applyBorder="1" applyAlignment="1">
      <alignment horizontal="center"/>
    </xf>
    <xf numFmtId="0" fontId="34" fillId="15" borderId="0" xfId="1" applyFill="1" applyBorder="1" applyAlignment="1">
      <alignment horizontal="center"/>
    </xf>
    <xf numFmtId="0" fontId="34" fillId="15" borderId="76" xfId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2" fillId="0" borderId="98" xfId="0" applyFont="1" applyFill="1" applyBorder="1"/>
    <xf numFmtId="0" fontId="2" fillId="0" borderId="102" xfId="0" applyFont="1" applyFill="1" applyBorder="1"/>
    <xf numFmtId="0" fontId="2" fillId="0" borderId="93" xfId="0" applyFont="1" applyFill="1" applyBorder="1"/>
    <xf numFmtId="0" fontId="2" fillId="0" borderId="103" xfId="0" applyFont="1" applyFill="1" applyBorder="1"/>
    <xf numFmtId="0" fontId="2" fillId="0" borderId="81" xfId="0" applyFont="1" applyFill="1" applyBorder="1"/>
    <xf numFmtId="0" fontId="5" fillId="2" borderId="97" xfId="0" applyFont="1" applyFill="1" applyBorder="1"/>
    <xf numFmtId="0" fontId="34" fillId="2" borderId="97" xfId="1" applyFill="1" applyBorder="1"/>
    <xf numFmtId="0" fontId="34" fillId="2" borderId="100" xfId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66676</xdr:rowOff>
    </xdr:from>
    <xdr:ext cx="3248025" cy="4495800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266701"/>
          <a:ext cx="3248025" cy="4495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13</xdr:row>
      <xdr:rowOff>0</xdr:rowOff>
    </xdr:from>
    <xdr:ext cx="39052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57375" y="2219325"/>
          <a:ext cx="390525" cy="323850"/>
        </a:xfrm>
        <a:prstGeom prst="down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819150</xdr:colOff>
      <xdr:row>9</xdr:row>
      <xdr:rowOff>190500</xdr:rowOff>
    </xdr:from>
    <xdr:ext cx="876300" cy="419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140800" y="530375"/>
          <a:ext cx="8607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0000"/>
              </a:solidFill>
            </a:rPr>
            <a:t>+76,77€</a:t>
          </a:r>
          <a:endParaRPr sz="1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0</xdr:col>
      <xdr:colOff>19050</xdr:colOff>
      <xdr:row>0</xdr:row>
      <xdr:rowOff>247650</xdr:rowOff>
    </xdr:from>
    <xdr:ext cx="6181725" cy="5638800"/>
    <xdr:pic>
      <xdr:nvPicPr>
        <xdr:cNvPr id="2" name="image2.png" title="Bild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6200775" cy="7667625"/>
    <xdr:pic>
      <xdr:nvPicPr>
        <xdr:cNvPr id="3" name="image4.png" title="Bild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048375" cy="7553325"/>
    <xdr:pic>
      <xdr:nvPicPr>
        <xdr:cNvPr id="5" name="image3.png" title="Bild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102</xdr:row>
      <xdr:rowOff>152400</xdr:rowOff>
    </xdr:from>
    <xdr:ext cx="4791075" cy="1695450"/>
    <xdr:pic>
      <xdr:nvPicPr>
        <xdr:cNvPr id="6" name="image5.png" title="Bild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ls Bade" id="{06F80C4E-9EA1-4383-A54F-69FA6EEF450E}" userId="d00edab8c511173c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8-14T09:44:15.45" personId="{06F80C4E-9EA1-4383-A54F-69FA6EEF450E}" id="{1FF339A2-B53F-440B-9BE8-316154D6701D}">
    <text>Represents maximum installable number! Since magnets are very strong, fewer mounting points and thus significantly fewer magnets can be used!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plattenzuschnitt24.de/Plexiglas-Orange-2H02-GT-3mm.html" TargetMode="External"/><Relationship Id="rId1" Type="http://schemas.openxmlformats.org/officeDocument/2006/relationships/hyperlink" Target="https://convertio.co/de/dxf-svg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atrig.com/bed-plate-cast-tooling-plate-pre-machined-multiple-sizes.html" TargetMode="External"/><Relationship Id="rId13" Type="http://schemas.openxmlformats.org/officeDocument/2006/relationships/hyperlink" Target="https://ratrig.com/hardware2/linear-rails/linear-rail-mgn15-mgn15c-carriage.html" TargetMode="External"/><Relationship Id="rId18" Type="http://schemas.openxmlformats.org/officeDocument/2006/relationships/hyperlink" Target="https://ratrig.com/rat-rig-bi-material-lead-screw-decoupler.html" TargetMode="External"/><Relationship Id="rId3" Type="http://schemas.openxmlformats.org/officeDocument/2006/relationships/hyperlink" Target="https://ratrig.com/aluminium-spacer-6mm.html" TargetMode="External"/><Relationship Id="rId21" Type="http://schemas.openxmlformats.org/officeDocument/2006/relationships/hyperlink" Target="https://ratrig.com/openbuilds-gt2-2mm-aluminum-timing-pulley-9mm.html" TargetMode="External"/><Relationship Id="rId7" Type="http://schemas.openxmlformats.org/officeDocument/2006/relationships/hyperlink" Target="https://ratrig.com/coupler-rigid-type-black-25-20mm-5mm-to-8mm.html" TargetMode="External"/><Relationship Id="rId12" Type="http://schemas.openxmlformats.org/officeDocument/2006/relationships/hyperlink" Target="https://ratrig.com/magnet-20-x-10-x-5mm-two-hole-m3-countersink-screws.html" TargetMode="External"/><Relationship Id="rId17" Type="http://schemas.openxmlformats.org/officeDocument/2006/relationships/hyperlink" Target="https://ratrig.com/nylon-spacer-3mm-x-7mm-x-5mm.html" TargetMode="External"/><Relationship Id="rId2" Type="http://schemas.openxmlformats.org/officeDocument/2006/relationships/hyperlink" Target="https://ratrig.com/bltouch-v3-1.html" TargetMode="External"/><Relationship Id="rId16" Type="http://schemas.openxmlformats.org/officeDocument/2006/relationships/hyperlink" Target="https://ratrig.com/nema-17-stepper-motor.html" TargetMode="External"/><Relationship Id="rId20" Type="http://schemas.openxmlformats.org/officeDocument/2006/relationships/hyperlink" Target="https://ratrig.com/thrust-bearing-f8-16m.html" TargetMode="External"/><Relationship Id="rId1" Type="http://schemas.openxmlformats.org/officeDocument/2006/relationships/hyperlink" Target="https://ratrig.com/electronics/probes-limit-switches/endstop-module-horizontal-limit-switch-only.html" TargetMode="External"/><Relationship Id="rId6" Type="http://schemas.openxmlformats.org/officeDocument/2006/relationships/hyperlink" Target="https://ratrig.com/ball-bearing-f695zz.html" TargetMode="External"/><Relationship Id="rId11" Type="http://schemas.openxmlformats.org/officeDocument/2006/relationships/hyperlink" Target="https://ratrig.com/acme-8mm-lead-screw.html" TargetMode="External"/><Relationship Id="rId5" Type="http://schemas.openxmlformats.org/officeDocument/2006/relationships/hyperlink" Target="https://ratrig.com/ball-bearing-f688zz.html" TargetMode="External"/><Relationship Id="rId15" Type="http://schemas.openxmlformats.org/officeDocument/2006/relationships/hyperlink" Target="https://ratrig.com/precision-mini-shim-8x5x1mm.html" TargetMode="External"/><Relationship Id="rId10" Type="http://schemas.openxmlformats.org/officeDocument/2006/relationships/hyperlink" Target="https://ratrig.com/dowel-pin-3-0mm-x-35-0mm.html" TargetMode="External"/><Relationship Id="rId19" Type="http://schemas.openxmlformats.org/officeDocument/2006/relationships/hyperlink" Target="https://ratrig.com/steel-ball-12mm-threaded-m5.html" TargetMode="External"/><Relationship Id="rId4" Type="http://schemas.openxmlformats.org/officeDocument/2006/relationships/hyperlink" Target="https://ratrig.com/ball-bearing-695-2rs.html" TargetMode="External"/><Relationship Id="rId9" Type="http://schemas.openxmlformats.org/officeDocument/2006/relationships/hyperlink" Target="https://ratrig.com/timing-belt-2gt-9mm-by-the-meter.html" TargetMode="External"/><Relationship Id="rId14" Type="http://schemas.openxmlformats.org/officeDocument/2006/relationships/hyperlink" Target="https://ratrig.com/hardware2/linear-rails/linear-rail-mgn15-2x-mgn15c-carriage-multiple-lengths.html" TargetMode="External"/><Relationship Id="rId22" Type="http://schemas.openxmlformats.org/officeDocument/2006/relationships/hyperlink" Target="https://ratrig.com/rat-rig-v-core-3-1-wiring-kit-500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em24.com/de-de/knotenblechsatz-8-40-200x120-180-70805?outlet=false" TargetMode="External"/><Relationship Id="rId13" Type="http://schemas.openxmlformats.org/officeDocument/2006/relationships/hyperlink" Target="https://www.item24.com/de-de/profil-kh-8-80x40-anthrazit-65530?length=875" TargetMode="External"/><Relationship Id="rId18" Type="http://schemas.openxmlformats.org/officeDocument/2006/relationships/hyperlink" Target="https://www.item24.com/de-de/profil-kh-8-40x40-anthrazit-64161?length=1087&amp;category=profiltechnik" TargetMode="External"/><Relationship Id="rId3" Type="http://schemas.openxmlformats.org/officeDocument/2006/relationships/hyperlink" Target="https://www.item24.com/de-de/winkelsatz-8-40x40-41115" TargetMode="External"/><Relationship Id="rId7" Type="http://schemas.openxmlformats.org/officeDocument/2006/relationships/hyperlink" Target="https://www.item24.com/de-de/knotenblechsatz-8-40-120x120-90-70802?outlet=false" TargetMode="External"/><Relationship Id="rId12" Type="http://schemas.openxmlformats.org/officeDocument/2006/relationships/hyperlink" Target="https://www.item24.com/de-de/profil-kh-8-80x40-anthrazit-65530?length=640" TargetMode="External"/><Relationship Id="rId17" Type="http://schemas.openxmlformats.org/officeDocument/2006/relationships/hyperlink" Target="https://www.item24.com/de-de/profil-kh-8-40x40-anthrazit-64161?length=1127&amp;category=profiltechnik" TargetMode="External"/><Relationship Id="rId2" Type="http://schemas.openxmlformats.org/officeDocument/2006/relationships/hyperlink" Target="https://www.item24.com/de-de/befestigungssatz-8-fur-lenk-bockrolle-140x110-67018" TargetMode="External"/><Relationship Id="rId16" Type="http://schemas.openxmlformats.org/officeDocument/2006/relationships/hyperlink" Target="https://www.item24.com/de-de/profil-kh-8-40x40-anthrazit-64161?length=640&amp;category=profiltechnik" TargetMode="External"/><Relationship Id="rId1" Type="http://schemas.openxmlformats.org/officeDocument/2006/relationships/hyperlink" Target="https://www.item24.com/de-de/universal-halter-8-schwarz-49452?velcro=false&amp;fastMounting=true" TargetMode="External"/><Relationship Id="rId6" Type="http://schemas.openxmlformats.org/officeDocument/2006/relationships/hyperlink" Target="https://www.item24.com/de-de/abdeckkappe-8-80x40-schwarz-2602?esd=false" TargetMode="External"/><Relationship Id="rId11" Type="http://schemas.openxmlformats.org/officeDocument/2006/relationships/hyperlink" Target="https://www.item24.com/de-de/hammermutter-8-m6-verzinkt-62606?category=profiltechnik&amp;quantity=220" TargetMode="External"/><Relationship Id="rId5" Type="http://schemas.openxmlformats.org/officeDocument/2006/relationships/hyperlink" Target="https://www.item24.com/de-de/abdeckkappe-8-40x40-schwarz-2601?esd=false" TargetMode="External"/><Relationship Id="rId15" Type="http://schemas.openxmlformats.org/officeDocument/2006/relationships/hyperlink" Target="https://www.item24.com/de-de/profil-kh-8-40x40-anthrazit-64161?length=715&amp;category=profiltechnik" TargetMode="External"/><Relationship Id="rId10" Type="http://schemas.openxmlformats.org/officeDocument/2006/relationships/hyperlink" Target="https://www.item24.com/de-de/nutenstein-8-zn-m3-verzinkt-37359" TargetMode="External"/><Relationship Id="rId19" Type="http://schemas.openxmlformats.org/officeDocument/2006/relationships/hyperlink" Target="https://www.item24.com/de-de/profil-kh-8-40x40-anthrazit-64161?length=622&amp;category=profiltechnik" TargetMode="External"/><Relationship Id="rId4" Type="http://schemas.openxmlformats.org/officeDocument/2006/relationships/hyperlink" Target="https://www.item24.com/de-de/lenkrolle-d100-doppelfeststeller-140x110-66718?esd=false" TargetMode="External"/><Relationship Id="rId9" Type="http://schemas.openxmlformats.org/officeDocument/2006/relationships/hyperlink" Target="https://www.item24.com/de-de/kabelfuhrungsprofil-8-40x16-grau-ahnlich-ral-7042-65444" TargetMode="External"/><Relationship Id="rId14" Type="http://schemas.openxmlformats.org/officeDocument/2006/relationships/hyperlink" Target="https://www.item24.com/de-de/profil-kh-8-40x40-anthrazit-64161?length=1500&amp;category=profiltechni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jlcpcb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gertseder.com/DIN-125-Unterlegscheiben-Form-A-bei-Stahl-Klasse-140-HV-ROSTFREI-A2" TargetMode="External"/><Relationship Id="rId2" Type="http://schemas.openxmlformats.org/officeDocument/2006/relationships/hyperlink" Target="https://www.wegertseder.com/DIN-7991-Senkschrauben-mit-Innensechskant-ROSTFREI-A2" TargetMode="External"/><Relationship Id="rId1" Type="http://schemas.openxmlformats.org/officeDocument/2006/relationships/hyperlink" Target="https://www.wegertseder.com/DIN-912-Zylinderschrauben-mit-Innensechskant-ROSTFREI-A2" TargetMode="External"/><Relationship Id="rId4" Type="http://schemas.openxmlformats.org/officeDocument/2006/relationships/hyperlink" Target="https://www.wegertseder.com/DIN-985-Sechskantmuttern-Polyamidklemmteil-niedrige-Form-ROSTFREI-A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atrig.com/products/btt-octopus-v1-1-motherboard-1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gauder.net/en/products/neodym-scheibenmagnet-10-mm-x-4-mm" TargetMode="External"/><Relationship Id="rId1" Type="http://schemas.openxmlformats.org/officeDocument/2006/relationships/hyperlink" Target="https://www.mouser.de/ProductDetail/MEAN-WELL/RSP-75-24?qs=JK6Bpmia%2FmvYBMpiosaujw%3D%3D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hyperlink" Target="https://www.conrad.de/de/p/raspberry-pi-4-b-2-gb-4-x-1-5-ghz-raspberry-pi-2138863.html?insert=VQ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tem24.com/de-de/nutenstein-8-st-m6-verzinkt-2623?mountingForm=single&amp;antiTorsion=false&amp;category=profiltechnik%2Fnutensteine" TargetMode="External"/><Relationship Id="rId18" Type="http://schemas.openxmlformats.org/officeDocument/2006/relationships/hyperlink" Target="https://www.item24.com/de-de/nutenstein-8-zn-m3-verzinkt-37359?type=BR8&amp;category=profiltechnik%2Fnutensteine" TargetMode="External"/><Relationship Id="rId26" Type="http://schemas.openxmlformats.org/officeDocument/2006/relationships/hyperlink" Target="https://www.item24.com/de-de/profil-kh-8-40x40-anthrazit-64161?length=1127&amp;category=profiltechnik" TargetMode="External"/><Relationship Id="rId39" Type="http://schemas.openxmlformats.org/officeDocument/2006/relationships/vmlDrawing" Target="../drawings/vmlDrawing3.vml"/><Relationship Id="rId21" Type="http://schemas.openxmlformats.org/officeDocument/2006/relationships/hyperlink" Target="https://www.item24.com/de-de/hammermutter-8-m6-verzinkt-62606?category=profiltechnik%2Fnutensteine" TargetMode="External"/><Relationship Id="rId34" Type="http://schemas.openxmlformats.org/officeDocument/2006/relationships/hyperlink" Target="https://www.item24.com/de-de/zylinderschraube-din-912-m6x20-verzinkt-8000092?quantity=10" TargetMode="External"/><Relationship Id="rId7" Type="http://schemas.openxmlformats.org/officeDocument/2006/relationships/hyperlink" Target="https://www.item24.com/de-de/profil-kh-8-40x40-anthrazit-64161?length=1500&amp;category=profiltechnik" TargetMode="External"/><Relationship Id="rId12" Type="http://schemas.openxmlformats.org/officeDocument/2006/relationships/hyperlink" Target="https://www.item24.com/de-de/profil-kh-8-40x40-anthrazit-64161?length=1087&amp;category=profiltechnik" TargetMode="External"/><Relationship Id="rId17" Type="http://schemas.openxmlformats.org/officeDocument/2006/relationships/hyperlink" Target="https://www.item24.com/de-de/profil-kh-8-40x40-anthrazit-64161?length=715&amp;category=profiltechnik" TargetMode="External"/><Relationship Id="rId25" Type="http://schemas.openxmlformats.org/officeDocument/2006/relationships/hyperlink" Target="https://www.item24.com/de-de/winkelsatz-8-40x40-41115?type=BR8&amp;category=profiltechnik%2Fverbindungstechnik" TargetMode="External"/><Relationship Id="rId33" Type="http://schemas.openxmlformats.org/officeDocument/2006/relationships/hyperlink" Target="https://www.item24.com/de-de/zylinderschraube-din-912-m3x12-verzinkt-65497?quantity=25" TargetMode="External"/><Relationship Id="rId38" Type="http://schemas.openxmlformats.org/officeDocument/2006/relationships/hyperlink" Target="https://www.item24.com/de-de/zylinderschraube-din-912-m3x20-verzinkt-61629?quantity=10" TargetMode="External"/><Relationship Id="rId2" Type="http://schemas.openxmlformats.org/officeDocument/2006/relationships/hyperlink" Target="https://www.item24.com/de-de/nutenstein-8-zn-m3-verzinkt-37359?type=BR8&amp;category=profiltechnik%2Fnutensteine" TargetMode="External"/><Relationship Id="rId16" Type="http://schemas.openxmlformats.org/officeDocument/2006/relationships/hyperlink" Target="https://www.item24.com/de-de/nutenstein-8-st-m8-schwer-verzinkt-42083?mountingForm=single&amp;antiTorsion=false&amp;category=profiltechnik%2Fnutensteine" TargetMode="External"/><Relationship Id="rId20" Type="http://schemas.openxmlformats.org/officeDocument/2006/relationships/hyperlink" Target="https://www.item24.com/de-de/profil-kh-8-40x40-anthrazit-64161?length=640&amp;category=profiltechnik" TargetMode="External"/><Relationship Id="rId29" Type="http://schemas.openxmlformats.org/officeDocument/2006/relationships/hyperlink" Target="https://www.item24.com/de-de/profil-kh-8-40x40-anthrazit-64161?length=1087&amp;category=profiltechnik" TargetMode="External"/><Relationship Id="rId1" Type="http://schemas.openxmlformats.org/officeDocument/2006/relationships/hyperlink" Target="https://www.item24.com/de-de/profil-kh-8-40x40-anthrazit-64161?length=715&amp;category=profiltechnik" TargetMode="External"/><Relationship Id="rId6" Type="http://schemas.openxmlformats.org/officeDocument/2006/relationships/hyperlink" Target="https://www.item24.com/de-de/handgriff-pa-120-schwarz-39135?category=profiltechnik" TargetMode="External"/><Relationship Id="rId11" Type="http://schemas.openxmlformats.org/officeDocument/2006/relationships/hyperlink" Target="https://www.item24.com/de-de/knotenblechsatz-8-40-120x120-90-70802?outlet=false&amp;category=profiltechnik" TargetMode="External"/><Relationship Id="rId24" Type="http://schemas.openxmlformats.org/officeDocument/2006/relationships/hyperlink" Target="https://www.item24.com/de-de/nutenstein-8-st-m6-schwer-verzinkt-42775?mountingForm=single&amp;antiTorsion=false&amp;category=profiltechnik%2Fnutensteine" TargetMode="External"/><Relationship Id="rId32" Type="http://schemas.openxmlformats.org/officeDocument/2006/relationships/hyperlink" Target="https://www.item24.com/de-de/profil-kh-8-40x40-anthrazit-64161?length=622&amp;category=profiltechnik" TargetMode="External"/><Relationship Id="rId37" Type="http://schemas.openxmlformats.org/officeDocument/2006/relationships/hyperlink" Target="https://www.item24.com/de-de/zylinderschraube-din-912-m3x8-verzinkt-8000044?quantity=10" TargetMode="External"/><Relationship Id="rId40" Type="http://schemas.openxmlformats.org/officeDocument/2006/relationships/comments" Target="../comments3.xml"/><Relationship Id="rId5" Type="http://schemas.openxmlformats.org/officeDocument/2006/relationships/hyperlink" Target="https://www.item24.com/de-de/hammermutter-8-m6-verzinkt-62606?category=profiltechnik%2Fnutensteine" TargetMode="External"/><Relationship Id="rId15" Type="http://schemas.openxmlformats.org/officeDocument/2006/relationships/hyperlink" Target="https://www.item24.com/de-de/profil-kh-8-40x40-anthrazit-64161?length=622&amp;category=profiltechnik" TargetMode="External"/><Relationship Id="rId23" Type="http://schemas.openxmlformats.org/officeDocument/2006/relationships/hyperlink" Target="https://www.item24.com/de-de/profil-kh-8-40x40-anthrazit-64161?length=1500&amp;category=profiltechnik" TargetMode="External"/><Relationship Id="rId28" Type="http://schemas.openxmlformats.org/officeDocument/2006/relationships/hyperlink" Target="https://www.item24.com/de-de/knotenblechsatz-8-40-120x120-90-70802?outlet=false&amp;category=profiltechnik" TargetMode="External"/><Relationship Id="rId36" Type="http://schemas.openxmlformats.org/officeDocument/2006/relationships/hyperlink" Target="https://www.item24.com/de-de/zylinderschraube-din-912-m6x16-verzinkt-65509?quantity=10" TargetMode="External"/><Relationship Id="rId10" Type="http://schemas.openxmlformats.org/officeDocument/2006/relationships/hyperlink" Target="https://www.item24.com/de-de/nutenstein-8-st-m6-schwer-verzinkt-42775?mountingForm=single&amp;antiTorsion=false&amp;category=profiltechnik%2Fnutensteine" TargetMode="External"/><Relationship Id="rId19" Type="http://schemas.openxmlformats.org/officeDocument/2006/relationships/hyperlink" Target="https://www.item24.com/de-de/halbrundschraube-m5x14-verzinkt-41730?color=1" TargetMode="External"/><Relationship Id="rId31" Type="http://schemas.openxmlformats.org/officeDocument/2006/relationships/hyperlink" Target="https://www.item24.com/de-de/knotenblechsatz-8-40-200x120-180-70805?outlet=false&amp;category=profiltechnik" TargetMode="External"/><Relationship Id="rId4" Type="http://schemas.openxmlformats.org/officeDocument/2006/relationships/hyperlink" Target="https://www.item24.com/de-de/profil-kh-8-40x40-anthrazit-64161?length=640&amp;category=profiltechnik" TargetMode="External"/><Relationship Id="rId9" Type="http://schemas.openxmlformats.org/officeDocument/2006/relationships/hyperlink" Target="https://www.item24.com/de-de/profil-kh-8-40x40-anthrazit-64161?length=1127&amp;category=profiltechnik" TargetMode="External"/><Relationship Id="rId14" Type="http://schemas.openxmlformats.org/officeDocument/2006/relationships/hyperlink" Target="https://www.item24.com/de-de/knotenblechsatz-8-40-200x120-180-70805?outlet=false&amp;category=profiltechnik" TargetMode="External"/><Relationship Id="rId22" Type="http://schemas.openxmlformats.org/officeDocument/2006/relationships/hyperlink" Target="https://www.item24.com/de-de/handgriff-pa-120-schwarz-39135?category=profiltechnik" TargetMode="External"/><Relationship Id="rId27" Type="http://schemas.openxmlformats.org/officeDocument/2006/relationships/hyperlink" Target="https://www.item24.com/de-de/nutenstein-8-st-m6-verzinkt-2623?mountingForm=single&amp;antiTorsion=false&amp;category=profiltechnik%2Fnutensteine" TargetMode="External"/><Relationship Id="rId30" Type="http://schemas.openxmlformats.org/officeDocument/2006/relationships/hyperlink" Target="https://www.item24.com/de-de/nutenstein-8-st-m8-schwer-verzinkt-42083?mountingForm=single&amp;antiTorsion=false&amp;category=profiltechnik%2Fnutensteine" TargetMode="External"/><Relationship Id="rId35" Type="http://schemas.openxmlformats.org/officeDocument/2006/relationships/hyperlink" Target="https://www.item24.com/de-de/zylinderschraube-din-912-m3x18-verzinkt-65498?quantity=10" TargetMode="External"/><Relationship Id="rId8" Type="http://schemas.openxmlformats.org/officeDocument/2006/relationships/hyperlink" Target="https://www.item24.com/de-de/winkelsatz-8-40x40-41115?type=BR8&amp;category=profiltechnik%2Fverbindungstechnik" TargetMode="External"/><Relationship Id="rId3" Type="http://schemas.openxmlformats.org/officeDocument/2006/relationships/hyperlink" Target="https://www.item24.com/de-de/halbrundschraube-m5x14-verzinkt-41730?color=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ratrig.com/rat-rig-bi-material-lead-screw-decoupler.html" TargetMode="External"/><Relationship Id="rId1" Type="http://schemas.openxmlformats.org/officeDocument/2006/relationships/hyperlink" Target="https://ratrig.com/t-nut-drop-in-for-4040-m8-sing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69"/>
  <sheetViews>
    <sheetView workbookViewId="0">
      <selection activeCell="E26" sqref="E26"/>
    </sheetView>
  </sheetViews>
  <sheetFormatPr baseColWidth="10" defaultColWidth="12.5703125" defaultRowHeight="15.75" customHeight="1" x14ac:dyDescent="0.2"/>
  <cols>
    <col min="5" max="5" width="18.28515625" customWidth="1"/>
    <col min="6" max="6" width="9" style="120" customWidth="1"/>
    <col min="7" max="8" width="17.85546875" style="120" customWidth="1"/>
    <col min="9" max="9" width="21.42578125" style="120" customWidth="1"/>
    <col min="12" max="12" width="20.140625" customWidth="1"/>
  </cols>
  <sheetData>
    <row r="1" spans="1:28" ht="15.75" customHeight="1" x14ac:dyDescent="0.25">
      <c r="A1" s="210" t="s">
        <v>296</v>
      </c>
      <c r="B1" s="2"/>
      <c r="C1" s="2"/>
      <c r="D1" s="2"/>
      <c r="E1" s="2"/>
      <c r="F1" s="115"/>
      <c r="G1" s="115"/>
      <c r="H1" s="115"/>
      <c r="I1" s="11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0.75" customHeight="1" x14ac:dyDescent="0.2">
      <c r="E2" s="222" t="s">
        <v>0</v>
      </c>
      <c r="F2" s="223" t="s">
        <v>259</v>
      </c>
      <c r="G2" s="224" t="s">
        <v>294</v>
      </c>
      <c r="H2" s="224" t="s">
        <v>293</v>
      </c>
      <c r="I2" s="225" t="s">
        <v>291</v>
      </c>
      <c r="J2" s="202"/>
      <c r="K2" s="267" t="s">
        <v>288</v>
      </c>
      <c r="L2" s="267"/>
    </row>
    <row r="3" spans="1:28" ht="12.75" x14ac:dyDescent="0.2">
      <c r="E3" s="211" t="s">
        <v>295</v>
      </c>
      <c r="F3" s="204">
        <v>1</v>
      </c>
      <c r="G3" s="205">
        <v>640</v>
      </c>
      <c r="H3" s="206">
        <v>640</v>
      </c>
      <c r="I3" s="215">
        <f>F3*G3*H3*10^-2</f>
        <v>4096</v>
      </c>
    </row>
    <row r="4" spans="1:28" ht="12.75" x14ac:dyDescent="0.2">
      <c r="E4" s="212" t="s">
        <v>280</v>
      </c>
      <c r="F4" s="207">
        <v>1</v>
      </c>
      <c r="G4" s="208">
        <v>530</v>
      </c>
      <c r="H4" s="209">
        <v>530</v>
      </c>
      <c r="I4" s="215">
        <f t="shared" ref="I4:I12" si="0">F4*G4*H4*10^-2</f>
        <v>2809</v>
      </c>
      <c r="J4" s="142" t="s">
        <v>290</v>
      </c>
    </row>
    <row r="5" spans="1:28" ht="12.75" x14ac:dyDescent="0.2">
      <c r="E5" s="212" t="s">
        <v>289</v>
      </c>
      <c r="F5" s="207">
        <v>1</v>
      </c>
      <c r="G5" s="208">
        <v>620</v>
      </c>
      <c r="H5" s="209">
        <v>40</v>
      </c>
      <c r="I5" s="215">
        <f t="shared" si="0"/>
        <v>248</v>
      </c>
      <c r="J5" s="4"/>
    </row>
    <row r="6" spans="1:28" ht="12.75" x14ac:dyDescent="0.2">
      <c r="E6" s="213" t="s">
        <v>281</v>
      </c>
      <c r="F6" s="116">
        <v>2</v>
      </c>
      <c r="G6" s="121">
        <v>230</v>
      </c>
      <c r="H6" s="122">
        <v>660</v>
      </c>
      <c r="I6" s="216">
        <f t="shared" si="0"/>
        <v>3036</v>
      </c>
    </row>
    <row r="7" spans="1:28" ht="12.75" x14ac:dyDescent="0.2">
      <c r="E7" s="213" t="s">
        <v>282</v>
      </c>
      <c r="F7" s="116">
        <v>2</v>
      </c>
      <c r="G7" s="121">
        <v>230</v>
      </c>
      <c r="H7" s="122">
        <v>640</v>
      </c>
      <c r="I7" s="216">
        <f t="shared" si="0"/>
        <v>2944</v>
      </c>
    </row>
    <row r="8" spans="1:28" ht="12.75" x14ac:dyDescent="0.2">
      <c r="E8" s="213" t="s">
        <v>283</v>
      </c>
      <c r="F8" s="116">
        <v>2</v>
      </c>
      <c r="G8" s="121">
        <v>560</v>
      </c>
      <c r="H8" s="122">
        <v>620</v>
      </c>
      <c r="I8" s="216">
        <f t="shared" si="0"/>
        <v>6944</v>
      </c>
    </row>
    <row r="9" spans="1:28" ht="12.75" x14ac:dyDescent="0.2">
      <c r="E9" s="213" t="s">
        <v>284</v>
      </c>
      <c r="F9" s="116">
        <v>1</v>
      </c>
      <c r="G9" s="121">
        <v>560</v>
      </c>
      <c r="H9" s="122">
        <v>640</v>
      </c>
      <c r="I9" s="216">
        <f t="shared" si="0"/>
        <v>3584</v>
      </c>
    </row>
    <row r="10" spans="1:28" ht="12.75" x14ac:dyDescent="0.2">
      <c r="E10" s="213" t="s">
        <v>285</v>
      </c>
      <c r="F10" s="116">
        <v>2</v>
      </c>
      <c r="G10" s="121">
        <v>560</v>
      </c>
      <c r="H10" s="122">
        <v>620</v>
      </c>
      <c r="I10" s="216">
        <f t="shared" si="0"/>
        <v>6944</v>
      </c>
    </row>
    <row r="11" spans="1:28" ht="12.75" x14ac:dyDescent="0.2">
      <c r="E11" s="213" t="s">
        <v>286</v>
      </c>
      <c r="F11" s="116">
        <v>1</v>
      </c>
      <c r="G11" s="121">
        <v>560</v>
      </c>
      <c r="H11" s="122">
        <v>640</v>
      </c>
      <c r="I11" s="216">
        <f t="shared" si="0"/>
        <v>3584</v>
      </c>
    </row>
    <row r="12" spans="1:28" ht="12.75" x14ac:dyDescent="0.2">
      <c r="E12" s="214" t="s">
        <v>287</v>
      </c>
      <c r="F12" s="118">
        <v>4</v>
      </c>
      <c r="G12" s="123">
        <v>560</v>
      </c>
      <c r="H12" s="124">
        <v>300</v>
      </c>
      <c r="I12" s="216">
        <f t="shared" si="0"/>
        <v>6720</v>
      </c>
    </row>
    <row r="13" spans="1:28" ht="12.75" x14ac:dyDescent="0.2">
      <c r="E13" s="217" t="s">
        <v>292</v>
      </c>
      <c r="F13" s="218"/>
      <c r="G13" s="218"/>
      <c r="H13" s="218"/>
      <c r="I13" s="219">
        <f>SUM(I3:I12)</f>
        <v>40909</v>
      </c>
      <c r="J13" s="220" t="s">
        <v>3</v>
      </c>
      <c r="K13" s="221">
        <f>I13*10^-4</f>
        <v>4.0909000000000004</v>
      </c>
    </row>
    <row r="14" spans="1:28" ht="12.75" x14ac:dyDescent="0.2">
      <c r="E14" s="5"/>
      <c r="F14" s="117"/>
      <c r="G14" s="117"/>
      <c r="H14" s="117"/>
      <c r="I14" s="117"/>
      <c r="J14" s="6"/>
    </row>
    <row r="15" spans="1:28" ht="12.75" x14ac:dyDescent="0.2">
      <c r="E15" s="203"/>
      <c r="F15" s="117"/>
      <c r="G15" s="117"/>
      <c r="H15" s="117"/>
      <c r="I15" s="117"/>
    </row>
    <row r="44" spans="1:28" ht="12.75" x14ac:dyDescent="0.2">
      <c r="A44" s="7"/>
      <c r="B44" s="7"/>
      <c r="C44" s="7"/>
      <c r="D44" s="7"/>
      <c r="E44" s="7"/>
      <c r="F44" s="119"/>
      <c r="G44" s="119"/>
      <c r="H44" s="119"/>
      <c r="I44" s="11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6.5" x14ac:dyDescent="0.25">
      <c r="A45" s="8"/>
      <c r="B45" s="7"/>
      <c r="C45" s="7"/>
      <c r="D45" s="7"/>
      <c r="E45" s="7"/>
      <c r="F45" s="119"/>
      <c r="G45" s="119"/>
      <c r="H45" s="119"/>
      <c r="I45" s="11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2.75" x14ac:dyDescent="0.2">
      <c r="A46" s="7"/>
      <c r="B46" s="7"/>
      <c r="C46" s="7"/>
      <c r="D46" s="7"/>
      <c r="E46" s="7"/>
      <c r="F46" s="119"/>
      <c r="G46" s="119"/>
      <c r="H46" s="119"/>
      <c r="I46" s="11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2.75" x14ac:dyDescent="0.2">
      <c r="A47" s="7"/>
      <c r="B47" s="7"/>
      <c r="C47" s="7"/>
      <c r="D47" s="7"/>
      <c r="E47" s="7"/>
      <c r="F47" s="119"/>
      <c r="G47" s="125"/>
      <c r="H47" s="125"/>
      <c r="I47" s="11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2.75" x14ac:dyDescent="0.2">
      <c r="A48" s="7"/>
      <c r="B48" s="7"/>
      <c r="C48" s="7"/>
      <c r="D48" s="7"/>
      <c r="E48" s="7"/>
      <c r="F48" s="119"/>
      <c r="G48" s="119"/>
      <c r="H48" s="119"/>
      <c r="I48" s="11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2.75" x14ac:dyDescent="0.2">
      <c r="A49" s="7"/>
      <c r="B49" s="7"/>
      <c r="C49" s="7"/>
      <c r="D49" s="7"/>
      <c r="E49" s="7"/>
      <c r="F49" s="119"/>
      <c r="G49" s="119"/>
      <c r="H49" s="119"/>
      <c r="I49" s="11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2.75" x14ac:dyDescent="0.2">
      <c r="A50" s="7"/>
      <c r="B50" s="7"/>
      <c r="C50" s="7"/>
      <c r="D50" s="7"/>
      <c r="E50" s="7"/>
      <c r="F50" s="119"/>
      <c r="G50" s="119"/>
      <c r="H50" s="119"/>
      <c r="I50" s="11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2.75" x14ac:dyDescent="0.2">
      <c r="A51" s="7"/>
      <c r="B51" s="7"/>
      <c r="C51" s="7"/>
      <c r="D51" s="7"/>
      <c r="E51" s="7"/>
      <c r="F51" s="119"/>
      <c r="G51" s="119"/>
      <c r="H51" s="119"/>
      <c r="I51" s="11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2.75" x14ac:dyDescent="0.2">
      <c r="A52" s="7"/>
      <c r="B52" s="7"/>
      <c r="C52" s="7"/>
      <c r="D52" s="7"/>
      <c r="E52" s="7"/>
      <c r="F52" s="119"/>
      <c r="G52" s="119"/>
      <c r="H52" s="119"/>
      <c r="I52" s="11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2.75" x14ac:dyDescent="0.2">
      <c r="A53" s="7"/>
      <c r="B53" s="7"/>
      <c r="C53" s="7"/>
      <c r="D53" s="7"/>
      <c r="E53" s="7"/>
      <c r="F53" s="119"/>
      <c r="G53" s="119"/>
      <c r="H53" s="119"/>
      <c r="I53" s="11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2.75" x14ac:dyDescent="0.2">
      <c r="A54" s="7"/>
      <c r="B54" s="7"/>
      <c r="C54" s="7"/>
      <c r="D54" s="7"/>
      <c r="E54" s="7"/>
      <c r="F54" s="119"/>
      <c r="G54" s="119"/>
      <c r="H54" s="119"/>
      <c r="I54" s="11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2.75" x14ac:dyDescent="0.2">
      <c r="A55" s="7"/>
      <c r="B55" s="7"/>
      <c r="C55" s="7"/>
      <c r="D55" s="7"/>
      <c r="E55" s="7"/>
      <c r="F55" s="119"/>
      <c r="G55" s="119"/>
      <c r="H55" s="119"/>
      <c r="I55" s="11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2.75" x14ac:dyDescent="0.2">
      <c r="A56" s="7"/>
      <c r="B56" s="7"/>
      <c r="C56" s="7"/>
      <c r="D56" s="7"/>
      <c r="E56" s="7"/>
      <c r="F56" s="119"/>
      <c r="G56" s="119"/>
      <c r="H56" s="119"/>
      <c r="I56" s="11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2.75" x14ac:dyDescent="0.2">
      <c r="A57" s="7"/>
      <c r="B57" s="7"/>
      <c r="C57" s="7"/>
      <c r="D57" s="7"/>
      <c r="E57" s="7"/>
      <c r="F57" s="119"/>
      <c r="G57" s="119"/>
      <c r="H57" s="119"/>
      <c r="I57" s="11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2.75" x14ac:dyDescent="0.2">
      <c r="A58" s="7"/>
      <c r="B58" s="7"/>
      <c r="C58" s="7"/>
      <c r="D58" s="7"/>
      <c r="E58" s="7"/>
      <c r="F58" s="119"/>
      <c r="G58" s="119"/>
      <c r="H58" s="119"/>
      <c r="I58" s="11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2.75" x14ac:dyDescent="0.2">
      <c r="A59" s="7"/>
      <c r="B59" s="7"/>
      <c r="C59" s="7"/>
      <c r="D59" s="7"/>
      <c r="E59" s="7"/>
      <c r="F59" s="119"/>
      <c r="G59" s="119"/>
      <c r="H59" s="119"/>
      <c r="I59" s="11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2.75" x14ac:dyDescent="0.2">
      <c r="A60" s="7"/>
      <c r="B60" s="7"/>
      <c r="C60" s="7"/>
      <c r="D60" s="7"/>
      <c r="E60" s="7"/>
      <c r="F60" s="119"/>
      <c r="G60" s="119"/>
      <c r="H60" s="119"/>
      <c r="I60" s="11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2.75" x14ac:dyDescent="0.2">
      <c r="A61" s="7"/>
      <c r="B61" s="7"/>
      <c r="C61" s="7"/>
      <c r="D61" s="7"/>
      <c r="E61" s="7"/>
      <c r="F61" s="119"/>
      <c r="G61" s="119"/>
      <c r="H61" s="119"/>
      <c r="I61" s="11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2.75" x14ac:dyDescent="0.2">
      <c r="A62" s="7"/>
      <c r="B62" s="7"/>
      <c r="C62" s="7"/>
      <c r="D62" s="7"/>
      <c r="E62" s="7"/>
      <c r="F62" s="119"/>
      <c r="G62" s="119"/>
      <c r="H62" s="119"/>
      <c r="I62" s="11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2.75" x14ac:dyDescent="0.2">
      <c r="A63" s="7"/>
      <c r="B63" s="7"/>
      <c r="C63" s="7"/>
      <c r="D63" s="7"/>
      <c r="E63" s="7"/>
      <c r="F63" s="119"/>
      <c r="G63" s="119"/>
      <c r="H63" s="119"/>
      <c r="I63" s="11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2.75" x14ac:dyDescent="0.2">
      <c r="A64" s="7"/>
      <c r="B64" s="7"/>
      <c r="C64" s="7"/>
      <c r="D64" s="7"/>
      <c r="E64" s="7"/>
      <c r="F64" s="119"/>
      <c r="G64" s="119"/>
      <c r="H64" s="119"/>
      <c r="I64" s="11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2.75" x14ac:dyDescent="0.2">
      <c r="A65" s="7"/>
      <c r="B65" s="7"/>
      <c r="C65" s="7"/>
      <c r="D65" s="7"/>
      <c r="E65" s="7"/>
      <c r="F65" s="119"/>
      <c r="G65" s="119"/>
      <c r="H65" s="119"/>
      <c r="I65" s="11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2.75" x14ac:dyDescent="0.2">
      <c r="A66" s="7"/>
      <c r="B66" s="7"/>
      <c r="C66" s="7"/>
      <c r="D66" s="7"/>
      <c r="E66" s="7"/>
      <c r="F66" s="119"/>
      <c r="G66" s="119"/>
      <c r="H66" s="119"/>
      <c r="I66" s="11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2.75" x14ac:dyDescent="0.2">
      <c r="A67" s="7"/>
      <c r="B67" s="7"/>
      <c r="C67" s="7"/>
      <c r="D67" s="7"/>
      <c r="E67" s="7"/>
      <c r="F67" s="119"/>
      <c r="G67" s="119"/>
      <c r="H67" s="119"/>
      <c r="I67" s="11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2.75" x14ac:dyDescent="0.2">
      <c r="A68" s="7"/>
      <c r="B68" s="7"/>
      <c r="C68" s="7"/>
      <c r="D68" s="7"/>
      <c r="E68" s="7"/>
      <c r="F68" s="119"/>
      <c r="G68" s="119"/>
      <c r="H68" s="119"/>
      <c r="I68" s="11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2.75" x14ac:dyDescent="0.2">
      <c r="A69" s="7"/>
      <c r="B69" s="7"/>
      <c r="C69" s="7"/>
      <c r="D69" s="7"/>
      <c r="E69" s="7"/>
      <c r="F69" s="119"/>
      <c r="G69" s="119"/>
      <c r="H69" s="119"/>
      <c r="I69" s="11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</sheetData>
  <mergeCells count="1">
    <mergeCell ref="K2:L2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30"/>
  <sheetViews>
    <sheetView workbookViewId="0">
      <selection activeCell="D31" sqref="D31"/>
    </sheetView>
  </sheetViews>
  <sheetFormatPr baseColWidth="10" defaultColWidth="12.5703125" defaultRowHeight="15.75" customHeight="1" x14ac:dyDescent="0.2"/>
  <cols>
    <col min="1" max="3" width="18.7109375" customWidth="1"/>
    <col min="4" max="4" width="33.5703125" customWidth="1"/>
    <col min="5" max="5" width="78.85546875" customWidth="1"/>
  </cols>
  <sheetData>
    <row r="1" spans="1:28" ht="12.75" x14ac:dyDescent="0.2">
      <c r="A1" s="273" t="s">
        <v>269</v>
      </c>
      <c r="B1" s="273"/>
      <c r="C1" s="199" t="s">
        <v>4</v>
      </c>
      <c r="E1" s="142"/>
    </row>
    <row r="2" spans="1:28" ht="15.75" customHeight="1" x14ac:dyDescent="0.2">
      <c r="A2" s="274" t="s">
        <v>270</v>
      </c>
      <c r="B2" s="274"/>
      <c r="C2" s="126" t="s">
        <v>271</v>
      </c>
      <c r="E2" s="126" t="s">
        <v>272</v>
      </c>
    </row>
    <row r="3" spans="1:28" ht="15.75" customHeight="1" x14ac:dyDescent="0.25">
      <c r="A3" s="1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">
      <c r="A4" s="128" t="s">
        <v>233</v>
      </c>
      <c r="B4" s="129"/>
      <c r="C4" s="129"/>
      <c r="D4" s="129"/>
      <c r="E4" s="130"/>
    </row>
    <row r="5" spans="1:28" ht="12.75" x14ac:dyDescent="0.2">
      <c r="A5" s="132" t="s">
        <v>234</v>
      </c>
      <c r="B5" s="131" t="s">
        <v>235</v>
      </c>
      <c r="C5" s="136" t="s">
        <v>236</v>
      </c>
      <c r="D5" s="137" t="s">
        <v>237</v>
      </c>
      <c r="E5" s="138" t="s">
        <v>238</v>
      </c>
    </row>
    <row r="6" spans="1:28" ht="12.75" x14ac:dyDescent="0.2">
      <c r="A6" s="152">
        <v>678</v>
      </c>
      <c r="B6" s="153">
        <v>710</v>
      </c>
      <c r="C6" s="153">
        <v>1</v>
      </c>
      <c r="D6" s="139" t="s">
        <v>5</v>
      </c>
      <c r="E6" s="133" t="s">
        <v>6</v>
      </c>
    </row>
    <row r="7" spans="1:28" ht="12.75" x14ac:dyDescent="0.2">
      <c r="A7" s="154">
        <v>326.5</v>
      </c>
      <c r="B7" s="155">
        <v>628</v>
      </c>
      <c r="C7" s="155">
        <v>1</v>
      </c>
      <c r="D7" s="140" t="s">
        <v>7</v>
      </c>
      <c r="E7" s="134" t="s">
        <v>8</v>
      </c>
    </row>
    <row r="8" spans="1:28" ht="12.75" x14ac:dyDescent="0.2">
      <c r="A8" s="154">
        <v>541</v>
      </c>
      <c r="B8" s="156">
        <v>299</v>
      </c>
      <c r="C8" s="155">
        <v>4</v>
      </c>
      <c r="D8" s="140" t="s">
        <v>9</v>
      </c>
      <c r="E8" s="134" t="s">
        <v>8</v>
      </c>
    </row>
    <row r="9" spans="1:28" ht="12.75" x14ac:dyDescent="0.2">
      <c r="A9" s="154">
        <v>283</v>
      </c>
      <c r="B9" s="155">
        <v>785</v>
      </c>
      <c r="C9" s="155">
        <v>2</v>
      </c>
      <c r="D9" s="201" t="s">
        <v>240</v>
      </c>
      <c r="E9" s="134" t="s">
        <v>10</v>
      </c>
    </row>
    <row r="10" spans="1:28" ht="12.75" x14ac:dyDescent="0.2">
      <c r="A10" s="154">
        <v>597</v>
      </c>
      <c r="B10" s="155">
        <v>698</v>
      </c>
      <c r="C10" s="155">
        <v>4</v>
      </c>
      <c r="D10" s="201" t="s">
        <v>279</v>
      </c>
      <c r="E10" s="134" t="s">
        <v>10</v>
      </c>
    </row>
    <row r="11" spans="1:28" ht="12.75" x14ac:dyDescent="0.2">
      <c r="A11" s="154">
        <v>283</v>
      </c>
      <c r="B11" s="155">
        <v>710</v>
      </c>
      <c r="C11" s="155">
        <v>1</v>
      </c>
      <c r="D11" s="201" t="s">
        <v>278</v>
      </c>
      <c r="E11" s="134" t="s">
        <v>11</v>
      </c>
    </row>
    <row r="12" spans="1:28" ht="12.75" x14ac:dyDescent="0.2">
      <c r="A12" s="154">
        <v>597</v>
      </c>
      <c r="B12" s="155">
        <v>710</v>
      </c>
      <c r="C12" s="155">
        <v>2</v>
      </c>
      <c r="D12" s="201" t="s">
        <v>277</v>
      </c>
      <c r="E12" s="134" t="s">
        <v>11</v>
      </c>
    </row>
    <row r="13" spans="1:28" ht="12.75" x14ac:dyDescent="0.2">
      <c r="A13" s="157">
        <v>200</v>
      </c>
      <c r="B13" s="158">
        <v>655</v>
      </c>
      <c r="C13" s="158">
        <v>1</v>
      </c>
      <c r="D13" s="141" t="s">
        <v>12</v>
      </c>
      <c r="E13" s="135" t="s">
        <v>13</v>
      </c>
    </row>
    <row r="14" spans="1:28" ht="12.75" x14ac:dyDescent="0.2">
      <c r="A14" s="4"/>
      <c r="B14" s="4"/>
      <c r="C14" s="4"/>
      <c r="D14" s="127"/>
    </row>
    <row r="15" spans="1:28" ht="12.75" x14ac:dyDescent="0.2">
      <c r="A15" s="4"/>
      <c r="B15" s="4"/>
      <c r="C15" s="4"/>
      <c r="D15" s="127"/>
    </row>
    <row r="16" spans="1:28" ht="12.75" x14ac:dyDescent="0.2">
      <c r="A16" s="268" t="s">
        <v>248</v>
      </c>
      <c r="B16" s="269"/>
      <c r="C16" s="269"/>
      <c r="D16" s="269"/>
      <c r="E16" s="226" t="s">
        <v>249</v>
      </c>
    </row>
    <row r="17" spans="1:28" ht="12.75" x14ac:dyDescent="0.2">
      <c r="A17" s="270" t="s">
        <v>276</v>
      </c>
      <c r="B17" s="271"/>
      <c r="C17" s="272"/>
      <c r="D17" s="162" t="s">
        <v>239</v>
      </c>
      <c r="E17" s="163" t="s">
        <v>274</v>
      </c>
      <c r="G17" s="3"/>
    </row>
    <row r="18" spans="1:28" ht="12.75" x14ac:dyDescent="0.2">
      <c r="A18" s="146">
        <v>565</v>
      </c>
      <c r="B18" s="147">
        <v>620</v>
      </c>
      <c r="C18" s="147">
        <v>2</v>
      </c>
      <c r="D18" s="143" t="s">
        <v>245</v>
      </c>
      <c r="E18" s="159" t="s">
        <v>250</v>
      </c>
      <c r="F18" s="142"/>
    </row>
    <row r="19" spans="1:28" ht="12.75" x14ac:dyDescent="0.2">
      <c r="A19" s="148">
        <f>2*A9+34</f>
        <v>600</v>
      </c>
      <c r="B19" s="149">
        <f>1*B9+20</f>
        <v>805</v>
      </c>
      <c r="C19" s="149">
        <v>1</v>
      </c>
      <c r="D19" s="144" t="s">
        <v>240</v>
      </c>
      <c r="E19" s="160" t="s">
        <v>251</v>
      </c>
      <c r="F19" s="4"/>
    </row>
    <row r="20" spans="1:28" ht="12.75" x14ac:dyDescent="0.2">
      <c r="A20" s="148">
        <v>720</v>
      </c>
      <c r="B20" s="149">
        <f>2*A10+36</f>
        <v>1230</v>
      </c>
      <c r="C20" s="149">
        <v>2</v>
      </c>
      <c r="D20" s="144" t="s">
        <v>241</v>
      </c>
      <c r="E20" s="160" t="s">
        <v>252</v>
      </c>
      <c r="F20" s="4"/>
    </row>
    <row r="21" spans="1:28" ht="12.75" x14ac:dyDescent="0.2">
      <c r="A21" s="148">
        <v>620</v>
      </c>
      <c r="B21" s="149">
        <v>730</v>
      </c>
      <c r="C21" s="149">
        <v>2</v>
      </c>
      <c r="D21" s="144" t="s">
        <v>242</v>
      </c>
      <c r="E21" s="160" t="s">
        <v>253</v>
      </c>
      <c r="F21" s="4"/>
    </row>
    <row r="22" spans="1:28" ht="12.75" x14ac:dyDescent="0.2">
      <c r="A22" s="148">
        <v>700</v>
      </c>
      <c r="B22" s="149">
        <v>730</v>
      </c>
      <c r="C22" s="149">
        <v>1</v>
      </c>
      <c r="D22" s="144" t="s">
        <v>243</v>
      </c>
      <c r="E22" s="160" t="s">
        <v>254</v>
      </c>
      <c r="F22" s="4"/>
    </row>
    <row r="23" spans="1:28" ht="12.75" x14ac:dyDescent="0.2">
      <c r="A23" s="148">
        <v>350</v>
      </c>
      <c r="B23" s="149">
        <v>650</v>
      </c>
      <c r="C23" s="149">
        <v>1</v>
      </c>
      <c r="D23" s="144" t="s">
        <v>244</v>
      </c>
      <c r="E23" s="160" t="s">
        <v>255</v>
      </c>
      <c r="F23" s="4"/>
    </row>
    <row r="24" spans="1:28" ht="12.75" x14ac:dyDescent="0.2">
      <c r="A24" s="148">
        <v>305</v>
      </c>
      <c r="B24" s="149">
        <v>730</v>
      </c>
      <c r="C24" s="149">
        <v>1</v>
      </c>
      <c r="D24" s="144" t="s">
        <v>246</v>
      </c>
      <c r="E24" s="160" t="s">
        <v>256</v>
      </c>
      <c r="F24" s="4"/>
    </row>
    <row r="25" spans="1:28" ht="12.75" x14ac:dyDescent="0.2">
      <c r="A25" s="150">
        <v>220</v>
      </c>
      <c r="B25" s="151">
        <v>675</v>
      </c>
      <c r="C25" s="151">
        <v>1</v>
      </c>
      <c r="D25" s="145" t="s">
        <v>247</v>
      </c>
      <c r="E25" s="161" t="s">
        <v>273</v>
      </c>
      <c r="F25" s="4"/>
    </row>
    <row r="26" spans="1:28" ht="15.75" customHeight="1" x14ac:dyDescent="0.25">
      <c r="A26" s="227" t="s">
        <v>297</v>
      </c>
      <c r="B26" s="227" t="s">
        <v>297</v>
      </c>
      <c r="C26" s="227" t="s">
        <v>298</v>
      </c>
      <c r="D26" s="3"/>
      <c r="E26" s="3"/>
      <c r="F26" s="9"/>
      <c r="G26" s="9"/>
      <c r="H26" s="13"/>
      <c r="I26" s="9"/>
      <c r="J26" s="9"/>
      <c r="K26" s="13"/>
      <c r="L26" s="9"/>
      <c r="M26" s="14"/>
      <c r="N26" s="9"/>
      <c r="O26" s="9"/>
      <c r="P26" s="9"/>
      <c r="Q26" s="9"/>
      <c r="R26" s="9"/>
      <c r="S26" s="9"/>
      <c r="T26" s="13"/>
      <c r="U26" s="9"/>
      <c r="V26" s="9"/>
      <c r="W26" s="13"/>
      <c r="X26" s="9"/>
      <c r="Y26" s="7"/>
      <c r="Z26" s="7"/>
      <c r="AA26" s="7"/>
      <c r="AB26" s="7"/>
    </row>
    <row r="28" spans="1:28" ht="15.75" customHeight="1" x14ac:dyDescent="0.2">
      <c r="A28" s="229" t="s">
        <v>302</v>
      </c>
      <c r="B28" s="231">
        <f>(PRODUCT(A18:C18)+PRODUCT(A19:C19)+PRODUCT(A20:C20)+PRODUCT(A21:C21)+PRODUCT(A22:C22)+PRODUCT(A23:C23)+PRODUCT(A24:C24)+PRODUCT(A25:C25))*10^-6</f>
        <v>4.9696499999999997</v>
      </c>
      <c r="C28" s="233" t="s">
        <v>299</v>
      </c>
    </row>
    <row r="29" spans="1:28" ht="15.75" customHeight="1" x14ac:dyDescent="0.2">
      <c r="A29" s="230" t="s">
        <v>300</v>
      </c>
      <c r="B29" s="232">
        <v>68.75</v>
      </c>
      <c r="C29" s="234" t="s">
        <v>301</v>
      </c>
    </row>
    <row r="30" spans="1:28" ht="15.75" customHeight="1" x14ac:dyDescent="0.2">
      <c r="A30" s="228" t="s">
        <v>257</v>
      </c>
      <c r="B30" s="235">
        <f>PRODUCT(B28:B29)</f>
        <v>341.66343749999999</v>
      </c>
      <c r="C30" s="236" t="s">
        <v>303</v>
      </c>
    </row>
  </sheetData>
  <mergeCells count="4">
    <mergeCell ref="A16:D16"/>
    <mergeCell ref="A17:C17"/>
    <mergeCell ref="A1:B1"/>
    <mergeCell ref="A2:B2"/>
  </mergeCells>
  <hyperlinks>
    <hyperlink ref="C1" r:id="rId1" xr:uid="{00000000-0004-0000-0100-000000000000}"/>
    <hyperlink ref="A17:C17" r:id="rId2" display="Order: 3mm Thickness, PLEXIGLAS® GS orange 3mm" xr:uid="{C70D9347-076F-4BD2-96C5-6FB520F03762}"/>
  </hyperlinks>
  <pageMargins left="0.7" right="0.7" top="0.78740157499999996" bottom="0.78740157499999996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00"/>
  <sheetViews>
    <sheetView workbookViewId="0">
      <selection activeCell="B24" sqref="B3:B24"/>
    </sheetView>
  </sheetViews>
  <sheetFormatPr baseColWidth="10" defaultColWidth="12.5703125" defaultRowHeight="15.75" customHeight="1" x14ac:dyDescent="0.2"/>
  <cols>
    <col min="1" max="1" width="3.7109375" customWidth="1"/>
    <col min="2" max="2" width="72.28515625" customWidth="1"/>
    <col min="8" max="8" width="91.85546875" customWidth="1"/>
  </cols>
  <sheetData>
    <row r="1" spans="1:9" ht="15.75" customHeight="1" x14ac:dyDescent="0.25">
      <c r="A1" s="166" t="s">
        <v>268</v>
      </c>
      <c r="B1" s="166"/>
      <c r="C1" s="12"/>
      <c r="D1" s="12"/>
      <c r="E1" s="12"/>
      <c r="F1" s="12"/>
      <c r="G1" s="12"/>
      <c r="H1" s="15"/>
      <c r="I1" s="3"/>
    </row>
    <row r="2" spans="1:9" ht="12.75" x14ac:dyDescent="0.2">
      <c r="A2" s="176"/>
      <c r="B2" s="177" t="s">
        <v>258</v>
      </c>
      <c r="C2" s="177" t="s">
        <v>259</v>
      </c>
      <c r="D2" s="177" t="s">
        <v>275</v>
      </c>
      <c r="E2" s="177" t="s">
        <v>261</v>
      </c>
      <c r="F2" s="179" t="s">
        <v>257</v>
      </c>
      <c r="G2" s="180">
        <f>SUM(E3:E300)</f>
        <v>782.94000000000028</v>
      </c>
      <c r="H2" s="181" t="s">
        <v>15</v>
      </c>
      <c r="I2" s="3"/>
    </row>
    <row r="3" spans="1:9" ht="12.75" x14ac:dyDescent="0.2">
      <c r="A3" s="168">
        <v>1</v>
      </c>
      <c r="B3" s="4" t="s">
        <v>16</v>
      </c>
      <c r="C3" s="164">
        <v>4</v>
      </c>
      <c r="D3" s="165">
        <v>1.04</v>
      </c>
      <c r="E3" s="165">
        <f t="shared" ref="E3:E25" si="0">C3*D3</f>
        <v>4.16</v>
      </c>
      <c r="H3" s="167" t="s">
        <v>17</v>
      </c>
      <c r="I3" s="4"/>
    </row>
    <row r="4" spans="1:9" ht="12.75" x14ac:dyDescent="0.2">
      <c r="A4" s="168">
        <v>2</v>
      </c>
      <c r="B4" s="4" t="s">
        <v>18</v>
      </c>
      <c r="C4" s="164">
        <v>1</v>
      </c>
      <c r="D4" s="165">
        <v>45</v>
      </c>
      <c r="E4" s="165">
        <f t="shared" si="0"/>
        <v>45</v>
      </c>
      <c r="H4" s="167" t="s">
        <v>19</v>
      </c>
      <c r="I4" s="4"/>
    </row>
    <row r="5" spans="1:9" ht="12.75" x14ac:dyDescent="0.2">
      <c r="A5" s="168">
        <v>3</v>
      </c>
      <c r="B5" s="4" t="s">
        <v>20</v>
      </c>
      <c r="C5" s="164">
        <v>15</v>
      </c>
      <c r="D5" s="165">
        <v>0.25</v>
      </c>
      <c r="E5" s="165">
        <f t="shared" si="0"/>
        <v>3.75</v>
      </c>
      <c r="H5" s="167" t="s">
        <v>21</v>
      </c>
      <c r="I5" s="4"/>
    </row>
    <row r="6" spans="1:9" ht="12.75" x14ac:dyDescent="0.2">
      <c r="A6" s="168">
        <v>4</v>
      </c>
      <c r="B6" s="4" t="s">
        <v>22</v>
      </c>
      <c r="C6" s="164">
        <v>12</v>
      </c>
      <c r="D6" s="165">
        <v>0.79</v>
      </c>
      <c r="E6" s="165">
        <f t="shared" si="0"/>
        <v>9.48</v>
      </c>
      <c r="H6" s="167" t="s">
        <v>23</v>
      </c>
      <c r="I6" s="4"/>
    </row>
    <row r="7" spans="1:9" ht="12.75" x14ac:dyDescent="0.2">
      <c r="A7" s="168">
        <v>5</v>
      </c>
      <c r="B7" s="4" t="s">
        <v>24</v>
      </c>
      <c r="C7" s="164">
        <v>3</v>
      </c>
      <c r="D7" s="165">
        <v>1.06</v>
      </c>
      <c r="E7" s="165">
        <f t="shared" si="0"/>
        <v>3.18</v>
      </c>
      <c r="H7" s="196" t="s">
        <v>25</v>
      </c>
      <c r="I7" s="4"/>
    </row>
    <row r="8" spans="1:9" ht="12.75" x14ac:dyDescent="0.2">
      <c r="A8" s="168">
        <v>6</v>
      </c>
      <c r="B8" s="4" t="s">
        <v>26</v>
      </c>
      <c r="C8" s="164">
        <v>24</v>
      </c>
      <c r="D8" s="165">
        <v>1.06</v>
      </c>
      <c r="E8" s="165">
        <f t="shared" si="0"/>
        <v>25.44</v>
      </c>
      <c r="H8" s="196" t="s">
        <v>27</v>
      </c>
      <c r="I8" s="4"/>
    </row>
    <row r="9" spans="1:9" ht="12.75" x14ac:dyDescent="0.2">
      <c r="A9" s="168">
        <v>7</v>
      </c>
      <c r="B9" s="4" t="s">
        <v>28</v>
      </c>
      <c r="C9" s="164">
        <f>3-1</f>
        <v>2</v>
      </c>
      <c r="D9" s="165">
        <v>3.96</v>
      </c>
      <c r="E9" s="165">
        <f t="shared" si="0"/>
        <v>7.92</v>
      </c>
      <c r="H9" s="196" t="s">
        <v>29</v>
      </c>
      <c r="I9" s="4"/>
    </row>
    <row r="10" spans="1:9" ht="12.75" x14ac:dyDescent="0.2">
      <c r="A10" s="168">
        <v>8</v>
      </c>
      <c r="B10" s="4" t="s">
        <v>30</v>
      </c>
      <c r="C10" s="164">
        <v>1</v>
      </c>
      <c r="D10" s="165">
        <v>132.91999999999999</v>
      </c>
      <c r="E10" s="165">
        <f t="shared" si="0"/>
        <v>132.91999999999999</v>
      </c>
      <c r="H10" s="167" t="s">
        <v>31</v>
      </c>
      <c r="I10" s="4"/>
    </row>
    <row r="11" spans="1:9" ht="12.75" x14ac:dyDescent="0.2">
      <c r="A11" s="168">
        <v>9</v>
      </c>
      <c r="B11" s="4" t="s">
        <v>32</v>
      </c>
      <c r="C11" s="164">
        <v>6</v>
      </c>
      <c r="D11" s="165">
        <v>2.9</v>
      </c>
      <c r="E11" s="165">
        <f t="shared" si="0"/>
        <v>17.399999999999999</v>
      </c>
      <c r="H11" s="167" t="s">
        <v>33</v>
      </c>
      <c r="I11" s="4"/>
    </row>
    <row r="12" spans="1:9" ht="12.75" x14ac:dyDescent="0.2">
      <c r="A12" s="168">
        <v>10</v>
      </c>
      <c r="B12" s="4" t="s">
        <v>34</v>
      </c>
      <c r="C12" s="164">
        <v>6</v>
      </c>
      <c r="D12" s="165">
        <v>0.42</v>
      </c>
      <c r="E12" s="165">
        <f t="shared" si="0"/>
        <v>2.52</v>
      </c>
      <c r="H12" s="196" t="s">
        <v>35</v>
      </c>
      <c r="I12" s="4"/>
    </row>
    <row r="13" spans="1:9" ht="12.75" x14ac:dyDescent="0.2">
      <c r="A13" s="168">
        <v>11</v>
      </c>
      <c r="B13" s="4" t="s">
        <v>36</v>
      </c>
      <c r="C13" s="164">
        <f t="shared" ref="C13:C14" si="1">3-1</f>
        <v>2</v>
      </c>
      <c r="D13" s="165">
        <v>31.64</v>
      </c>
      <c r="E13" s="165">
        <f t="shared" si="0"/>
        <v>63.28</v>
      </c>
      <c r="H13" s="196" t="s">
        <v>37</v>
      </c>
      <c r="I13" s="4"/>
    </row>
    <row r="14" spans="1:9" ht="12.75" x14ac:dyDescent="0.2">
      <c r="A14" s="168">
        <v>12</v>
      </c>
      <c r="B14" s="4" t="s">
        <v>38</v>
      </c>
      <c r="C14" s="164">
        <f t="shared" si="1"/>
        <v>2</v>
      </c>
      <c r="D14" s="165">
        <v>2.11</v>
      </c>
      <c r="E14" s="165">
        <f t="shared" si="0"/>
        <v>4.22</v>
      </c>
      <c r="H14" s="196" t="s">
        <v>39</v>
      </c>
      <c r="I14" s="4"/>
    </row>
    <row r="15" spans="1:9" ht="12.75" x14ac:dyDescent="0.2">
      <c r="A15" s="168">
        <v>13</v>
      </c>
      <c r="B15" s="4" t="s">
        <v>40</v>
      </c>
      <c r="C15" s="164">
        <v>2</v>
      </c>
      <c r="D15" s="165">
        <v>36</v>
      </c>
      <c r="E15" s="165">
        <f t="shared" si="0"/>
        <v>72</v>
      </c>
      <c r="H15" s="196" t="s">
        <v>41</v>
      </c>
      <c r="I15" s="4"/>
    </row>
    <row r="16" spans="1:9" ht="12.75" x14ac:dyDescent="0.2">
      <c r="A16" s="168">
        <v>14</v>
      </c>
      <c r="B16" s="4" t="s">
        <v>42</v>
      </c>
      <c r="C16" s="164">
        <v>3</v>
      </c>
      <c r="D16" s="165">
        <v>76.77</v>
      </c>
      <c r="E16" s="165">
        <f t="shared" si="0"/>
        <v>230.31</v>
      </c>
      <c r="H16" s="196" t="s">
        <v>43</v>
      </c>
      <c r="I16" s="4"/>
    </row>
    <row r="17" spans="1:9" ht="12.75" x14ac:dyDescent="0.2">
      <c r="A17" s="168">
        <v>15</v>
      </c>
      <c r="B17" s="4" t="s">
        <v>44</v>
      </c>
      <c r="C17" s="164">
        <f>28+7</f>
        <v>35</v>
      </c>
      <c r="D17" s="165">
        <v>0.21</v>
      </c>
      <c r="E17" s="165">
        <f t="shared" si="0"/>
        <v>7.35</v>
      </c>
      <c r="H17" s="196" t="s">
        <v>45</v>
      </c>
      <c r="I17" s="4"/>
    </row>
    <row r="18" spans="1:9" ht="12.75" x14ac:dyDescent="0.2">
      <c r="A18" s="168">
        <v>16</v>
      </c>
      <c r="B18" s="4" t="s">
        <v>46</v>
      </c>
      <c r="C18" s="164">
        <f>5-1</f>
        <v>4</v>
      </c>
      <c r="D18" s="165">
        <v>17.420000000000002</v>
      </c>
      <c r="E18" s="165">
        <f t="shared" si="0"/>
        <v>69.680000000000007</v>
      </c>
      <c r="H18" s="167" t="s">
        <v>47</v>
      </c>
      <c r="I18" s="4"/>
    </row>
    <row r="19" spans="1:9" ht="12.75" x14ac:dyDescent="0.2">
      <c r="A19" s="168">
        <v>17</v>
      </c>
      <c r="B19" s="4" t="s">
        <v>48</v>
      </c>
      <c r="C19" s="164">
        <f>8+12</f>
        <v>20</v>
      </c>
      <c r="D19" s="165">
        <v>0.05</v>
      </c>
      <c r="E19" s="165">
        <f t="shared" si="0"/>
        <v>1</v>
      </c>
      <c r="H19" s="196" t="s">
        <v>49</v>
      </c>
      <c r="I19" s="4"/>
    </row>
    <row r="20" spans="1:9" ht="12.75" x14ac:dyDescent="0.2">
      <c r="A20" s="168">
        <v>18</v>
      </c>
      <c r="B20" s="4" t="s">
        <v>50</v>
      </c>
      <c r="C20" s="164">
        <v>3</v>
      </c>
      <c r="D20" s="165">
        <v>13.19</v>
      </c>
      <c r="E20" s="165">
        <f t="shared" si="0"/>
        <v>39.57</v>
      </c>
      <c r="H20" s="196" t="s">
        <v>51</v>
      </c>
      <c r="I20" s="4"/>
    </row>
    <row r="21" spans="1:9" ht="12.75" x14ac:dyDescent="0.2">
      <c r="A21" s="168">
        <v>19</v>
      </c>
      <c r="B21" s="4" t="s">
        <v>52</v>
      </c>
      <c r="C21" s="164">
        <f>4+6</f>
        <v>10</v>
      </c>
      <c r="D21" s="165">
        <v>1.1200000000000001</v>
      </c>
      <c r="E21" s="165">
        <f t="shared" si="0"/>
        <v>11.200000000000001</v>
      </c>
      <c r="H21" s="196" t="s">
        <v>53</v>
      </c>
      <c r="I21" s="4"/>
    </row>
    <row r="22" spans="1:9" ht="12.75" x14ac:dyDescent="0.2">
      <c r="A22" s="168">
        <v>20</v>
      </c>
      <c r="B22" s="4" t="s">
        <v>54</v>
      </c>
      <c r="C22" s="164">
        <f>3-1</f>
        <v>2</v>
      </c>
      <c r="D22" s="165">
        <v>1.85</v>
      </c>
      <c r="E22" s="165">
        <f t="shared" si="0"/>
        <v>3.7</v>
      </c>
      <c r="H22" s="167" t="s">
        <v>55</v>
      </c>
      <c r="I22" s="4"/>
    </row>
    <row r="23" spans="1:9" ht="12.75" x14ac:dyDescent="0.2">
      <c r="A23" s="168">
        <v>21</v>
      </c>
      <c r="B23" s="4" t="s">
        <v>56</v>
      </c>
      <c r="C23" s="164">
        <v>2</v>
      </c>
      <c r="D23" s="165">
        <v>3.43</v>
      </c>
      <c r="E23" s="165">
        <f t="shared" si="0"/>
        <v>6.86</v>
      </c>
      <c r="H23" s="167" t="s">
        <v>57</v>
      </c>
      <c r="I23" s="4"/>
    </row>
    <row r="24" spans="1:9" ht="12.75" x14ac:dyDescent="0.2">
      <c r="A24" s="168">
        <v>22</v>
      </c>
      <c r="B24" s="4" t="s">
        <v>58</v>
      </c>
      <c r="C24" s="164">
        <v>1</v>
      </c>
      <c r="D24" s="165">
        <v>22</v>
      </c>
      <c r="E24" s="165">
        <f t="shared" si="0"/>
        <v>22</v>
      </c>
      <c r="H24" s="196" t="s">
        <v>59</v>
      </c>
      <c r="I24" s="4"/>
    </row>
    <row r="25" spans="1:9" ht="12.75" x14ac:dyDescent="0.2">
      <c r="A25" s="200">
        <v>23</v>
      </c>
      <c r="B25" s="172"/>
      <c r="C25" s="172"/>
      <c r="D25" s="174">
        <v>0</v>
      </c>
      <c r="E25" s="174">
        <f t="shared" si="0"/>
        <v>0</v>
      </c>
      <c r="F25" s="172"/>
      <c r="G25" s="172"/>
      <c r="H25" s="175"/>
      <c r="I25" s="4"/>
    </row>
    <row r="26" spans="1:9" ht="12.75" x14ac:dyDescent="0.2">
      <c r="D26" s="165"/>
      <c r="E26" s="165"/>
      <c r="H26" s="4"/>
      <c r="I26" s="4"/>
    </row>
    <row r="27" spans="1:9" ht="12.75" x14ac:dyDescent="0.2">
      <c r="C27" s="164"/>
      <c r="D27" s="165"/>
      <c r="E27" s="165"/>
      <c r="H27" s="4"/>
      <c r="I27" s="4"/>
    </row>
    <row r="28" spans="1:9" ht="12.75" x14ac:dyDescent="0.2">
      <c r="C28" s="164"/>
      <c r="D28" s="165"/>
      <c r="E28" s="165"/>
      <c r="H28" s="4"/>
      <c r="I28" s="4"/>
    </row>
    <row r="29" spans="1:9" ht="12.75" x14ac:dyDescent="0.2">
      <c r="C29" s="164"/>
      <c r="D29" s="165"/>
      <c r="E29" s="165"/>
      <c r="H29" s="4"/>
      <c r="I29" s="4"/>
    </row>
    <row r="30" spans="1:9" ht="12.75" x14ac:dyDescent="0.2">
      <c r="C30" s="164"/>
      <c r="D30" s="165"/>
      <c r="E30" s="165"/>
      <c r="H30" s="4"/>
      <c r="I30" s="4"/>
    </row>
    <row r="31" spans="1:9" ht="12.75" x14ac:dyDescent="0.2">
      <c r="C31" s="164"/>
      <c r="D31" s="165"/>
      <c r="E31" s="165"/>
      <c r="H31" s="4"/>
      <c r="I31" s="4"/>
    </row>
    <row r="32" spans="1:9" ht="12.75" x14ac:dyDescent="0.2">
      <c r="C32" s="164"/>
      <c r="D32" s="165"/>
      <c r="E32" s="165"/>
      <c r="H32" s="4"/>
      <c r="I32" s="4"/>
    </row>
    <row r="33" spans="3:9" ht="12.75" x14ac:dyDescent="0.2">
      <c r="C33" s="164"/>
      <c r="D33" s="165"/>
      <c r="E33" s="165"/>
      <c r="H33" s="4"/>
      <c r="I33" s="4"/>
    </row>
    <row r="34" spans="3:9" ht="12.75" x14ac:dyDescent="0.2">
      <c r="C34" s="164"/>
      <c r="D34" s="165"/>
      <c r="E34" s="165"/>
      <c r="H34" s="4"/>
      <c r="I34" s="4"/>
    </row>
    <row r="35" spans="3:9" ht="12.75" x14ac:dyDescent="0.2">
      <c r="C35" s="164"/>
      <c r="D35" s="165"/>
      <c r="E35" s="165"/>
      <c r="H35" s="4"/>
      <c r="I35" s="4"/>
    </row>
    <row r="36" spans="3:9" ht="12.75" x14ac:dyDescent="0.2">
      <c r="C36" s="164"/>
      <c r="D36" s="165"/>
      <c r="E36" s="165"/>
      <c r="H36" s="4"/>
      <c r="I36" s="4"/>
    </row>
    <row r="37" spans="3:9" ht="12.75" x14ac:dyDescent="0.2">
      <c r="C37" s="164"/>
      <c r="D37" s="165"/>
      <c r="E37" s="165"/>
      <c r="H37" s="4"/>
      <c r="I37" s="4"/>
    </row>
    <row r="38" spans="3:9" ht="12.75" x14ac:dyDescent="0.2">
      <c r="C38" s="164"/>
      <c r="D38" s="165"/>
      <c r="E38" s="165"/>
      <c r="H38" s="4"/>
      <c r="I38" s="4"/>
    </row>
    <row r="39" spans="3:9" ht="12.75" x14ac:dyDescent="0.2">
      <c r="C39" s="164"/>
      <c r="D39" s="165"/>
      <c r="E39" s="165"/>
      <c r="H39" s="4"/>
      <c r="I39" s="4"/>
    </row>
    <row r="40" spans="3:9" ht="12.75" x14ac:dyDescent="0.2">
      <c r="C40" s="164"/>
      <c r="D40" s="165"/>
      <c r="E40" s="165"/>
      <c r="H40" s="4"/>
      <c r="I40" s="4"/>
    </row>
    <row r="41" spans="3:9" ht="12.75" x14ac:dyDescent="0.2">
      <c r="C41" s="164"/>
      <c r="D41" s="165"/>
      <c r="E41" s="165"/>
      <c r="H41" s="4"/>
      <c r="I41" s="4"/>
    </row>
    <row r="42" spans="3:9" ht="12.75" x14ac:dyDescent="0.2">
      <c r="C42" s="164"/>
      <c r="D42" s="165"/>
      <c r="E42" s="165"/>
      <c r="H42" s="4"/>
      <c r="I42" s="4"/>
    </row>
    <row r="43" spans="3:9" ht="12.75" x14ac:dyDescent="0.2">
      <c r="C43" s="164"/>
      <c r="D43" s="165"/>
      <c r="E43" s="165"/>
      <c r="H43" s="4"/>
      <c r="I43" s="4"/>
    </row>
    <row r="44" spans="3:9" ht="12.75" x14ac:dyDescent="0.2">
      <c r="C44" s="164"/>
      <c r="D44" s="165"/>
      <c r="E44" s="165"/>
      <c r="H44" s="4"/>
      <c r="I44" s="4"/>
    </row>
    <row r="45" spans="3:9" ht="12.75" x14ac:dyDescent="0.2">
      <c r="C45" s="164"/>
      <c r="D45" s="165"/>
      <c r="E45" s="165"/>
      <c r="H45" s="4"/>
      <c r="I45" s="4"/>
    </row>
    <row r="46" spans="3:9" ht="12.75" x14ac:dyDescent="0.2">
      <c r="C46" s="164"/>
      <c r="D46" s="165"/>
      <c r="E46" s="165"/>
      <c r="H46" s="4"/>
      <c r="I46" s="4"/>
    </row>
    <row r="47" spans="3:9" ht="12.75" x14ac:dyDescent="0.2">
      <c r="C47" s="164"/>
      <c r="D47" s="165"/>
      <c r="E47" s="165"/>
      <c r="H47" s="4"/>
      <c r="I47" s="4"/>
    </row>
    <row r="48" spans="3:9" ht="12.75" x14ac:dyDescent="0.2">
      <c r="C48" s="164"/>
      <c r="D48" s="165"/>
      <c r="E48" s="165"/>
      <c r="H48" s="4"/>
      <c r="I48" s="4"/>
    </row>
    <row r="49" spans="3:9" ht="12.75" x14ac:dyDescent="0.2">
      <c r="C49" s="164"/>
      <c r="D49" s="165"/>
      <c r="E49" s="165"/>
      <c r="H49" s="4"/>
      <c r="I49" s="4"/>
    </row>
    <row r="50" spans="3:9" ht="12.75" x14ac:dyDescent="0.2">
      <c r="C50" s="164"/>
      <c r="D50" s="165"/>
      <c r="E50" s="165"/>
      <c r="H50" s="4"/>
      <c r="I50" s="4"/>
    </row>
    <row r="51" spans="3:9" ht="12.75" x14ac:dyDescent="0.2">
      <c r="C51" s="164"/>
      <c r="D51" s="165"/>
      <c r="E51" s="165"/>
      <c r="H51" s="4"/>
      <c r="I51" s="4"/>
    </row>
    <row r="52" spans="3:9" ht="12.75" x14ac:dyDescent="0.2">
      <c r="C52" s="164"/>
      <c r="D52" s="165"/>
      <c r="E52" s="165"/>
      <c r="H52" s="4"/>
      <c r="I52" s="4"/>
    </row>
    <row r="53" spans="3:9" ht="12.75" x14ac:dyDescent="0.2">
      <c r="C53" s="164"/>
      <c r="D53" s="165"/>
      <c r="E53" s="165"/>
      <c r="H53" s="4"/>
      <c r="I53" s="4"/>
    </row>
    <row r="54" spans="3:9" ht="12.75" x14ac:dyDescent="0.2">
      <c r="C54" s="164"/>
      <c r="D54" s="165"/>
      <c r="E54" s="165"/>
      <c r="H54" s="4"/>
      <c r="I54" s="4"/>
    </row>
    <row r="55" spans="3:9" ht="12.75" x14ac:dyDescent="0.2">
      <c r="C55" s="164"/>
      <c r="D55" s="165"/>
      <c r="E55" s="165"/>
      <c r="H55" s="4"/>
      <c r="I55" s="4"/>
    </row>
    <row r="56" spans="3:9" ht="12.75" x14ac:dyDescent="0.2">
      <c r="C56" s="164"/>
      <c r="D56" s="165"/>
      <c r="E56" s="165"/>
      <c r="H56" s="4"/>
      <c r="I56" s="4"/>
    </row>
    <row r="57" spans="3:9" ht="12.75" x14ac:dyDescent="0.2">
      <c r="C57" s="164"/>
      <c r="D57" s="165"/>
      <c r="E57" s="165"/>
      <c r="H57" s="4"/>
      <c r="I57" s="4"/>
    </row>
    <row r="58" spans="3:9" ht="12.75" x14ac:dyDescent="0.2">
      <c r="C58" s="164"/>
      <c r="D58" s="165"/>
      <c r="E58" s="165"/>
      <c r="H58" s="4"/>
      <c r="I58" s="4"/>
    </row>
    <row r="59" spans="3:9" ht="12.75" x14ac:dyDescent="0.2">
      <c r="C59" s="164"/>
      <c r="D59" s="165"/>
      <c r="E59" s="165"/>
      <c r="H59" s="4"/>
      <c r="I59" s="4"/>
    </row>
    <row r="60" spans="3:9" ht="12.75" x14ac:dyDescent="0.2">
      <c r="C60" s="164"/>
      <c r="D60" s="165"/>
      <c r="E60" s="165"/>
      <c r="H60" s="4"/>
      <c r="I60" s="4"/>
    </row>
    <row r="61" spans="3:9" ht="12.75" x14ac:dyDescent="0.2">
      <c r="C61" s="164"/>
      <c r="D61" s="165"/>
      <c r="E61" s="165"/>
      <c r="H61" s="4"/>
      <c r="I61" s="4"/>
    </row>
    <row r="62" spans="3:9" ht="12.75" x14ac:dyDescent="0.2">
      <c r="C62" s="164"/>
      <c r="D62" s="165"/>
      <c r="E62" s="165"/>
      <c r="H62" s="4"/>
      <c r="I62" s="4"/>
    </row>
    <row r="63" spans="3:9" ht="12.75" x14ac:dyDescent="0.2">
      <c r="C63" s="164"/>
      <c r="D63" s="165"/>
      <c r="E63" s="165"/>
      <c r="H63" s="4"/>
      <c r="I63" s="4"/>
    </row>
    <row r="64" spans="3:9" ht="12.75" x14ac:dyDescent="0.2">
      <c r="C64" s="164"/>
      <c r="D64" s="165"/>
      <c r="E64" s="165"/>
      <c r="H64" s="4"/>
      <c r="I64" s="4"/>
    </row>
    <row r="65" spans="3:9" ht="12.75" x14ac:dyDescent="0.2">
      <c r="C65" s="164"/>
      <c r="D65" s="165"/>
      <c r="E65" s="165"/>
      <c r="H65" s="4"/>
      <c r="I65" s="4"/>
    </row>
    <row r="66" spans="3:9" ht="12.75" x14ac:dyDescent="0.2">
      <c r="C66" s="164"/>
      <c r="D66" s="165"/>
      <c r="E66" s="165"/>
      <c r="H66" s="4"/>
      <c r="I66" s="4"/>
    </row>
    <row r="67" spans="3:9" ht="12.75" x14ac:dyDescent="0.2">
      <c r="C67" s="164"/>
      <c r="D67" s="165"/>
      <c r="E67" s="165"/>
      <c r="H67" s="4"/>
      <c r="I67" s="4"/>
    </row>
    <row r="68" spans="3:9" ht="12.75" x14ac:dyDescent="0.2">
      <c r="C68" s="164"/>
      <c r="D68" s="165"/>
      <c r="E68" s="165"/>
      <c r="H68" s="4"/>
      <c r="I68" s="4"/>
    </row>
    <row r="69" spans="3:9" ht="12.75" x14ac:dyDescent="0.2">
      <c r="C69" s="164"/>
      <c r="D69" s="165"/>
      <c r="E69" s="165"/>
      <c r="H69" s="4"/>
      <c r="I69" s="4"/>
    </row>
    <row r="70" spans="3:9" ht="12.75" x14ac:dyDescent="0.2">
      <c r="C70" s="164"/>
      <c r="D70" s="165"/>
      <c r="E70" s="165"/>
      <c r="H70" s="4"/>
      <c r="I70" s="4"/>
    </row>
    <row r="71" spans="3:9" ht="12.75" x14ac:dyDescent="0.2">
      <c r="C71" s="164"/>
      <c r="D71" s="165"/>
      <c r="E71" s="165"/>
      <c r="H71" s="4"/>
      <c r="I71" s="4"/>
    </row>
    <row r="72" spans="3:9" ht="12.75" x14ac:dyDescent="0.2">
      <c r="C72" s="164"/>
      <c r="D72" s="165"/>
      <c r="E72" s="165"/>
      <c r="H72" s="4"/>
      <c r="I72" s="4"/>
    </row>
    <row r="73" spans="3:9" ht="12.75" x14ac:dyDescent="0.2">
      <c r="C73" s="164"/>
      <c r="D73" s="165"/>
      <c r="E73" s="165"/>
      <c r="H73" s="4"/>
      <c r="I73" s="4"/>
    </row>
    <row r="74" spans="3:9" ht="12.75" x14ac:dyDescent="0.2">
      <c r="C74" s="164"/>
      <c r="D74" s="165"/>
      <c r="E74" s="165"/>
      <c r="H74" s="4"/>
      <c r="I74" s="4"/>
    </row>
    <row r="75" spans="3:9" ht="12.75" x14ac:dyDescent="0.2">
      <c r="C75" s="164"/>
      <c r="D75" s="165"/>
      <c r="E75" s="165"/>
      <c r="H75" s="4"/>
      <c r="I75" s="4"/>
    </row>
    <row r="76" spans="3:9" ht="12.75" x14ac:dyDescent="0.2">
      <c r="C76" s="164"/>
      <c r="D76" s="165"/>
      <c r="E76" s="165"/>
      <c r="H76" s="4"/>
      <c r="I76" s="4"/>
    </row>
    <row r="77" spans="3:9" ht="12.75" x14ac:dyDescent="0.2">
      <c r="C77" s="164"/>
      <c r="D77" s="165"/>
      <c r="E77" s="165"/>
      <c r="H77" s="4"/>
      <c r="I77" s="4"/>
    </row>
    <row r="78" spans="3:9" ht="12.75" x14ac:dyDescent="0.2">
      <c r="C78" s="164"/>
      <c r="D78" s="165"/>
      <c r="E78" s="165"/>
      <c r="H78" s="4"/>
      <c r="I78" s="4"/>
    </row>
    <row r="79" spans="3:9" ht="12.75" x14ac:dyDescent="0.2">
      <c r="C79" s="164"/>
      <c r="D79" s="165"/>
      <c r="E79" s="165"/>
      <c r="H79" s="4"/>
      <c r="I79" s="4"/>
    </row>
    <row r="80" spans="3:9" ht="12.75" x14ac:dyDescent="0.2">
      <c r="C80" s="164"/>
      <c r="D80" s="165"/>
      <c r="E80" s="165"/>
      <c r="H80" s="4"/>
      <c r="I80" s="4"/>
    </row>
    <row r="81" spans="3:9" ht="12.75" x14ac:dyDescent="0.2">
      <c r="C81" s="164"/>
      <c r="D81" s="165"/>
      <c r="E81" s="165"/>
      <c r="H81" s="4"/>
      <c r="I81" s="4"/>
    </row>
    <row r="82" spans="3:9" ht="12.75" x14ac:dyDescent="0.2">
      <c r="C82" s="164"/>
      <c r="D82" s="165"/>
      <c r="E82" s="165"/>
      <c r="H82" s="4"/>
      <c r="I82" s="4"/>
    </row>
    <row r="83" spans="3:9" ht="12.75" x14ac:dyDescent="0.2">
      <c r="C83" s="164"/>
      <c r="D83" s="165"/>
      <c r="E83" s="165"/>
      <c r="H83" s="4"/>
      <c r="I83" s="4"/>
    </row>
    <row r="84" spans="3:9" ht="12.75" x14ac:dyDescent="0.2">
      <c r="C84" s="164"/>
      <c r="D84" s="165"/>
      <c r="E84" s="165"/>
      <c r="H84" s="4"/>
      <c r="I84" s="4"/>
    </row>
    <row r="85" spans="3:9" ht="12.75" x14ac:dyDescent="0.2">
      <c r="C85" s="164"/>
      <c r="D85" s="165"/>
      <c r="E85" s="165"/>
      <c r="H85" s="4"/>
      <c r="I85" s="4"/>
    </row>
    <row r="86" spans="3:9" ht="12.75" x14ac:dyDescent="0.2">
      <c r="C86" s="164"/>
      <c r="D86" s="165"/>
      <c r="E86" s="165"/>
      <c r="H86" s="4"/>
      <c r="I86" s="4"/>
    </row>
    <row r="87" spans="3:9" ht="12.75" x14ac:dyDescent="0.2">
      <c r="C87" s="164"/>
      <c r="D87" s="165"/>
      <c r="E87" s="165"/>
      <c r="H87" s="4"/>
      <c r="I87" s="4"/>
    </row>
    <row r="88" spans="3:9" ht="12.75" x14ac:dyDescent="0.2">
      <c r="C88" s="164"/>
      <c r="D88" s="165"/>
      <c r="E88" s="165"/>
      <c r="H88" s="4"/>
      <c r="I88" s="4"/>
    </row>
    <row r="89" spans="3:9" ht="12.75" x14ac:dyDescent="0.2">
      <c r="C89" s="164"/>
      <c r="D89" s="165"/>
      <c r="E89" s="165"/>
      <c r="H89" s="4"/>
      <c r="I89" s="4"/>
    </row>
    <row r="90" spans="3:9" ht="12.75" x14ac:dyDescent="0.2">
      <c r="C90" s="164"/>
      <c r="D90" s="165"/>
      <c r="E90" s="165"/>
      <c r="H90" s="4"/>
      <c r="I90" s="4"/>
    </row>
    <row r="91" spans="3:9" ht="12.75" x14ac:dyDescent="0.2">
      <c r="C91" s="164"/>
      <c r="D91" s="165"/>
      <c r="E91" s="165"/>
      <c r="H91" s="4"/>
      <c r="I91" s="4"/>
    </row>
    <row r="92" spans="3:9" ht="12.75" x14ac:dyDescent="0.2">
      <c r="C92" s="164"/>
      <c r="D92" s="165"/>
      <c r="E92" s="165"/>
      <c r="H92" s="4"/>
      <c r="I92" s="4"/>
    </row>
    <row r="93" spans="3:9" ht="12.75" x14ac:dyDescent="0.2">
      <c r="C93" s="164"/>
      <c r="D93" s="165"/>
      <c r="E93" s="165"/>
      <c r="H93" s="4"/>
      <c r="I93" s="4"/>
    </row>
    <row r="94" spans="3:9" ht="12.75" x14ac:dyDescent="0.2">
      <c r="C94" s="164"/>
      <c r="D94" s="165"/>
      <c r="E94" s="165"/>
      <c r="H94" s="4"/>
      <c r="I94" s="4"/>
    </row>
    <row r="95" spans="3:9" ht="12.75" x14ac:dyDescent="0.2">
      <c r="C95" s="164"/>
      <c r="D95" s="165"/>
      <c r="E95" s="165"/>
      <c r="H95" s="4"/>
      <c r="I95" s="4"/>
    </row>
    <row r="96" spans="3:9" ht="12.75" x14ac:dyDescent="0.2">
      <c r="C96" s="164"/>
      <c r="D96" s="165"/>
      <c r="E96" s="165"/>
      <c r="H96" s="4"/>
      <c r="I96" s="4"/>
    </row>
    <row r="97" spans="3:9" ht="12.75" x14ac:dyDescent="0.2">
      <c r="C97" s="164"/>
      <c r="D97" s="165"/>
      <c r="E97" s="165"/>
      <c r="H97" s="4"/>
      <c r="I97" s="4"/>
    </row>
    <row r="98" spans="3:9" ht="12.75" x14ac:dyDescent="0.2">
      <c r="C98" s="164"/>
      <c r="D98" s="165"/>
      <c r="E98" s="165"/>
      <c r="H98" s="4"/>
      <c r="I98" s="4"/>
    </row>
    <row r="99" spans="3:9" ht="12.75" x14ac:dyDescent="0.2">
      <c r="C99" s="164"/>
      <c r="D99" s="165"/>
      <c r="E99" s="165"/>
      <c r="H99" s="4"/>
      <c r="I99" s="4"/>
    </row>
    <row r="100" spans="3:9" ht="12.75" x14ac:dyDescent="0.2">
      <c r="C100" s="164"/>
      <c r="D100" s="165"/>
      <c r="E100" s="165"/>
      <c r="H100" s="4"/>
      <c r="I100" s="4"/>
    </row>
    <row r="101" spans="3:9" ht="12.75" x14ac:dyDescent="0.2">
      <c r="C101" s="164"/>
      <c r="D101" s="165"/>
      <c r="E101" s="165"/>
      <c r="H101" s="4"/>
      <c r="I101" s="4"/>
    </row>
    <row r="102" spans="3:9" ht="12.75" x14ac:dyDescent="0.2">
      <c r="C102" s="164"/>
      <c r="D102" s="165"/>
      <c r="E102" s="165"/>
      <c r="H102" s="4"/>
      <c r="I102" s="4"/>
    </row>
    <row r="103" spans="3:9" ht="12.75" x14ac:dyDescent="0.2">
      <c r="C103" s="164"/>
      <c r="D103" s="165"/>
      <c r="E103" s="165"/>
      <c r="H103" s="4"/>
      <c r="I103" s="4"/>
    </row>
    <row r="104" spans="3:9" ht="12.75" x14ac:dyDescent="0.2">
      <c r="C104" s="164"/>
      <c r="D104" s="165"/>
      <c r="E104" s="165"/>
      <c r="H104" s="4"/>
      <c r="I104" s="4"/>
    </row>
    <row r="105" spans="3:9" ht="12.75" x14ac:dyDescent="0.2">
      <c r="C105" s="164"/>
      <c r="D105" s="165"/>
      <c r="E105" s="165"/>
      <c r="H105" s="4"/>
      <c r="I105" s="4"/>
    </row>
    <row r="106" spans="3:9" ht="12.75" x14ac:dyDescent="0.2">
      <c r="C106" s="164"/>
      <c r="D106" s="165"/>
      <c r="E106" s="165"/>
      <c r="H106" s="4"/>
      <c r="I106" s="4"/>
    </row>
    <row r="107" spans="3:9" ht="12.75" x14ac:dyDescent="0.2">
      <c r="C107" s="164"/>
      <c r="D107" s="165"/>
      <c r="E107" s="165"/>
      <c r="H107" s="4"/>
      <c r="I107" s="4"/>
    </row>
    <row r="108" spans="3:9" ht="12.75" x14ac:dyDescent="0.2">
      <c r="C108" s="164"/>
      <c r="D108" s="165"/>
      <c r="E108" s="165"/>
      <c r="H108" s="4"/>
      <c r="I108" s="4"/>
    </row>
    <row r="109" spans="3:9" ht="12.75" x14ac:dyDescent="0.2">
      <c r="C109" s="164"/>
      <c r="D109" s="165"/>
      <c r="E109" s="165"/>
      <c r="H109" s="4"/>
      <c r="I109" s="4"/>
    </row>
    <row r="110" spans="3:9" ht="12.75" x14ac:dyDescent="0.2">
      <c r="C110" s="164"/>
      <c r="D110" s="165"/>
      <c r="E110" s="165"/>
      <c r="H110" s="4"/>
      <c r="I110" s="4"/>
    </row>
    <row r="111" spans="3:9" ht="12.75" x14ac:dyDescent="0.2">
      <c r="C111" s="164"/>
      <c r="D111" s="165"/>
      <c r="E111" s="165"/>
      <c r="H111" s="4"/>
      <c r="I111" s="4"/>
    </row>
    <row r="112" spans="3:9" ht="12.75" x14ac:dyDescent="0.2">
      <c r="C112" s="164"/>
      <c r="D112" s="165"/>
      <c r="E112" s="165"/>
      <c r="H112" s="4"/>
      <c r="I112" s="4"/>
    </row>
    <row r="113" spans="3:9" ht="12.75" x14ac:dyDescent="0.2">
      <c r="C113" s="164"/>
      <c r="D113" s="165"/>
      <c r="E113" s="165"/>
      <c r="H113" s="4"/>
      <c r="I113" s="4"/>
    </row>
    <row r="114" spans="3:9" ht="12.75" x14ac:dyDescent="0.2">
      <c r="C114" s="164"/>
      <c r="D114" s="165"/>
      <c r="E114" s="165"/>
      <c r="H114" s="4"/>
      <c r="I114" s="4"/>
    </row>
    <row r="115" spans="3:9" ht="12.75" x14ac:dyDescent="0.2">
      <c r="C115" s="164"/>
      <c r="D115" s="165"/>
      <c r="E115" s="165"/>
      <c r="H115" s="4"/>
      <c r="I115" s="4"/>
    </row>
    <row r="116" spans="3:9" ht="12.75" x14ac:dyDescent="0.2">
      <c r="C116" s="164"/>
      <c r="D116" s="165"/>
      <c r="E116" s="165"/>
      <c r="H116" s="4"/>
      <c r="I116" s="4"/>
    </row>
    <row r="117" spans="3:9" ht="12.75" x14ac:dyDescent="0.2">
      <c r="C117" s="164"/>
      <c r="D117" s="165"/>
      <c r="E117" s="165"/>
      <c r="H117" s="4"/>
      <c r="I117" s="4"/>
    </row>
    <row r="118" spans="3:9" ht="12.75" x14ac:dyDescent="0.2">
      <c r="C118" s="164"/>
      <c r="D118" s="165"/>
      <c r="E118" s="165"/>
      <c r="H118" s="4"/>
      <c r="I118" s="4"/>
    </row>
    <row r="119" spans="3:9" ht="12.75" x14ac:dyDescent="0.2">
      <c r="C119" s="164"/>
      <c r="D119" s="165"/>
      <c r="E119" s="165"/>
      <c r="H119" s="4"/>
      <c r="I119" s="4"/>
    </row>
    <row r="120" spans="3:9" ht="12.75" x14ac:dyDescent="0.2">
      <c r="C120" s="164"/>
      <c r="D120" s="165"/>
      <c r="E120" s="165"/>
      <c r="H120" s="4"/>
      <c r="I120" s="4"/>
    </row>
    <row r="121" spans="3:9" ht="12.75" x14ac:dyDescent="0.2">
      <c r="C121" s="164"/>
      <c r="D121" s="165"/>
      <c r="E121" s="165"/>
      <c r="H121" s="4"/>
      <c r="I121" s="4"/>
    </row>
    <row r="122" spans="3:9" ht="12.75" x14ac:dyDescent="0.2">
      <c r="C122" s="164"/>
      <c r="D122" s="165"/>
      <c r="E122" s="165"/>
      <c r="H122" s="4"/>
      <c r="I122" s="4"/>
    </row>
    <row r="123" spans="3:9" ht="12.75" x14ac:dyDescent="0.2">
      <c r="C123" s="164"/>
      <c r="D123" s="165"/>
      <c r="E123" s="165"/>
      <c r="H123" s="4"/>
      <c r="I123" s="4"/>
    </row>
    <row r="124" spans="3:9" ht="12.75" x14ac:dyDescent="0.2">
      <c r="C124" s="164"/>
      <c r="D124" s="165"/>
      <c r="E124" s="165"/>
      <c r="H124" s="4"/>
      <c r="I124" s="4"/>
    </row>
    <row r="125" spans="3:9" ht="12.75" x14ac:dyDescent="0.2">
      <c r="C125" s="164"/>
      <c r="D125" s="165"/>
      <c r="E125" s="165"/>
      <c r="H125" s="4"/>
      <c r="I125" s="4"/>
    </row>
    <row r="126" spans="3:9" ht="12.75" x14ac:dyDescent="0.2">
      <c r="C126" s="164"/>
      <c r="D126" s="165"/>
      <c r="E126" s="165"/>
      <c r="H126" s="4"/>
      <c r="I126" s="4"/>
    </row>
    <row r="127" spans="3:9" ht="12.75" x14ac:dyDescent="0.2">
      <c r="C127" s="164"/>
      <c r="D127" s="165"/>
      <c r="E127" s="165"/>
      <c r="H127" s="4"/>
      <c r="I127" s="4"/>
    </row>
    <row r="128" spans="3:9" ht="12.75" x14ac:dyDescent="0.2">
      <c r="C128" s="164"/>
      <c r="D128" s="165"/>
      <c r="E128" s="165"/>
      <c r="H128" s="4"/>
      <c r="I128" s="4"/>
    </row>
    <row r="129" spans="3:9" ht="12.75" x14ac:dyDescent="0.2">
      <c r="C129" s="164"/>
      <c r="D129" s="165"/>
      <c r="E129" s="165"/>
      <c r="H129" s="4"/>
      <c r="I129" s="4"/>
    </row>
    <row r="130" spans="3:9" ht="12.75" x14ac:dyDescent="0.2">
      <c r="C130" s="164"/>
      <c r="D130" s="165"/>
      <c r="E130" s="165"/>
      <c r="H130" s="4"/>
      <c r="I130" s="4"/>
    </row>
    <row r="131" spans="3:9" ht="12.75" x14ac:dyDescent="0.2">
      <c r="C131" s="164"/>
      <c r="D131" s="165"/>
      <c r="E131" s="165"/>
      <c r="H131" s="4"/>
      <c r="I131" s="4"/>
    </row>
    <row r="132" spans="3:9" ht="12.75" x14ac:dyDescent="0.2">
      <c r="C132" s="164"/>
      <c r="D132" s="165"/>
      <c r="E132" s="165"/>
      <c r="H132" s="4"/>
      <c r="I132" s="4"/>
    </row>
    <row r="133" spans="3:9" ht="12.75" x14ac:dyDescent="0.2">
      <c r="C133" s="164"/>
      <c r="D133" s="165"/>
      <c r="E133" s="165"/>
      <c r="H133" s="4"/>
      <c r="I133" s="4"/>
    </row>
    <row r="134" spans="3:9" ht="12.75" x14ac:dyDescent="0.2">
      <c r="C134" s="164"/>
      <c r="D134" s="165"/>
      <c r="E134" s="165"/>
      <c r="H134" s="4"/>
      <c r="I134" s="4"/>
    </row>
    <row r="135" spans="3:9" ht="12.75" x14ac:dyDescent="0.2">
      <c r="C135" s="164"/>
      <c r="D135" s="165"/>
      <c r="E135" s="165"/>
      <c r="H135" s="4"/>
      <c r="I135" s="4"/>
    </row>
    <row r="136" spans="3:9" ht="12.75" x14ac:dyDescent="0.2">
      <c r="C136" s="164"/>
      <c r="D136" s="165"/>
      <c r="E136" s="165"/>
      <c r="H136" s="4"/>
      <c r="I136" s="4"/>
    </row>
    <row r="137" spans="3:9" ht="12.75" x14ac:dyDescent="0.2">
      <c r="C137" s="164"/>
      <c r="D137" s="165"/>
      <c r="E137" s="165"/>
      <c r="H137" s="4"/>
      <c r="I137" s="4"/>
    </row>
    <row r="138" spans="3:9" ht="12.75" x14ac:dyDescent="0.2">
      <c r="C138" s="164"/>
      <c r="D138" s="165"/>
      <c r="E138" s="165"/>
      <c r="H138" s="4"/>
      <c r="I138" s="4"/>
    </row>
    <row r="139" spans="3:9" ht="12.75" x14ac:dyDescent="0.2">
      <c r="C139" s="164"/>
      <c r="D139" s="165"/>
      <c r="E139" s="165"/>
      <c r="H139" s="4"/>
      <c r="I139" s="4"/>
    </row>
    <row r="140" spans="3:9" ht="12.75" x14ac:dyDescent="0.2">
      <c r="C140" s="164"/>
      <c r="D140" s="165"/>
      <c r="E140" s="165"/>
      <c r="H140" s="4"/>
      <c r="I140" s="4"/>
    </row>
    <row r="141" spans="3:9" ht="12.75" x14ac:dyDescent="0.2">
      <c r="C141" s="164"/>
      <c r="D141" s="165"/>
      <c r="E141" s="165"/>
      <c r="H141" s="4"/>
      <c r="I141" s="4"/>
    </row>
    <row r="142" spans="3:9" ht="12.75" x14ac:dyDescent="0.2">
      <c r="C142" s="164"/>
      <c r="D142" s="165"/>
      <c r="E142" s="165"/>
      <c r="H142" s="4"/>
      <c r="I142" s="4"/>
    </row>
    <row r="143" spans="3:9" ht="12.75" x14ac:dyDescent="0.2">
      <c r="C143" s="164"/>
      <c r="D143" s="165"/>
      <c r="E143" s="165"/>
      <c r="H143" s="4"/>
      <c r="I143" s="4"/>
    </row>
    <row r="144" spans="3:9" ht="12.75" x14ac:dyDescent="0.2">
      <c r="C144" s="164"/>
      <c r="D144" s="165"/>
      <c r="E144" s="165"/>
      <c r="H144" s="4"/>
      <c r="I144" s="4"/>
    </row>
    <row r="145" spans="3:9" ht="12.75" x14ac:dyDescent="0.2">
      <c r="C145" s="164"/>
      <c r="D145" s="165"/>
      <c r="E145" s="165"/>
      <c r="H145" s="4"/>
      <c r="I145" s="4"/>
    </row>
    <row r="146" spans="3:9" ht="12.75" x14ac:dyDescent="0.2">
      <c r="C146" s="164"/>
      <c r="D146" s="165"/>
      <c r="E146" s="165"/>
      <c r="H146" s="4"/>
      <c r="I146" s="4"/>
    </row>
    <row r="147" spans="3:9" ht="12.75" x14ac:dyDescent="0.2">
      <c r="C147" s="164"/>
      <c r="D147" s="165"/>
      <c r="E147" s="165"/>
      <c r="H147" s="4"/>
      <c r="I147" s="4"/>
    </row>
    <row r="148" spans="3:9" ht="12.75" x14ac:dyDescent="0.2">
      <c r="C148" s="164"/>
      <c r="D148" s="165"/>
      <c r="E148" s="165"/>
      <c r="H148" s="4"/>
      <c r="I148" s="4"/>
    </row>
    <row r="149" spans="3:9" ht="12.75" x14ac:dyDescent="0.2">
      <c r="C149" s="164"/>
      <c r="D149" s="165"/>
      <c r="E149" s="165"/>
      <c r="H149" s="4"/>
      <c r="I149" s="4"/>
    </row>
    <row r="150" spans="3:9" ht="12.75" x14ac:dyDescent="0.2">
      <c r="C150" s="164"/>
      <c r="D150" s="165"/>
      <c r="E150" s="165"/>
      <c r="H150" s="4"/>
      <c r="I150" s="4"/>
    </row>
    <row r="151" spans="3:9" ht="12.75" x14ac:dyDescent="0.2">
      <c r="C151" s="164"/>
      <c r="D151" s="165"/>
      <c r="E151" s="165"/>
      <c r="H151" s="4"/>
      <c r="I151" s="4"/>
    </row>
    <row r="152" spans="3:9" ht="12.75" x14ac:dyDescent="0.2">
      <c r="C152" s="164"/>
      <c r="D152" s="165"/>
      <c r="E152" s="165"/>
      <c r="H152" s="4"/>
      <c r="I152" s="4"/>
    </row>
    <row r="153" spans="3:9" ht="12.75" x14ac:dyDescent="0.2">
      <c r="C153" s="164"/>
      <c r="D153" s="165"/>
      <c r="E153" s="165"/>
      <c r="H153" s="4"/>
      <c r="I153" s="4"/>
    </row>
    <row r="154" spans="3:9" ht="12.75" x14ac:dyDescent="0.2">
      <c r="C154" s="164"/>
      <c r="D154" s="165"/>
      <c r="E154" s="165"/>
      <c r="H154" s="4"/>
      <c r="I154" s="4"/>
    </row>
    <row r="155" spans="3:9" ht="12.75" x14ac:dyDescent="0.2">
      <c r="C155" s="164"/>
      <c r="D155" s="165"/>
      <c r="E155" s="165"/>
      <c r="H155" s="4"/>
      <c r="I155" s="4"/>
    </row>
    <row r="156" spans="3:9" ht="12.75" x14ac:dyDescent="0.2">
      <c r="C156" s="164"/>
      <c r="D156" s="165"/>
      <c r="E156" s="165"/>
      <c r="H156" s="4"/>
      <c r="I156" s="4"/>
    </row>
    <row r="157" spans="3:9" ht="12.75" x14ac:dyDescent="0.2">
      <c r="C157" s="164"/>
      <c r="D157" s="165"/>
      <c r="E157" s="165"/>
      <c r="H157" s="4"/>
      <c r="I157" s="4"/>
    </row>
    <row r="158" spans="3:9" ht="12.75" x14ac:dyDescent="0.2">
      <c r="C158" s="164"/>
      <c r="D158" s="165"/>
      <c r="E158" s="165"/>
      <c r="H158" s="4"/>
      <c r="I158" s="4"/>
    </row>
    <row r="159" spans="3:9" ht="12.75" x14ac:dyDescent="0.2">
      <c r="C159" s="164"/>
      <c r="D159" s="165"/>
      <c r="E159" s="165"/>
      <c r="H159" s="4"/>
      <c r="I159" s="4"/>
    </row>
    <row r="160" spans="3:9" ht="12.75" x14ac:dyDescent="0.2">
      <c r="C160" s="164"/>
      <c r="D160" s="165"/>
      <c r="E160" s="165"/>
      <c r="H160" s="4"/>
      <c r="I160" s="4"/>
    </row>
    <row r="161" spans="3:9" ht="12.75" x14ac:dyDescent="0.2">
      <c r="C161" s="164"/>
      <c r="D161" s="165"/>
      <c r="E161" s="165"/>
      <c r="H161" s="4"/>
      <c r="I161" s="4"/>
    </row>
    <row r="162" spans="3:9" ht="12.75" x14ac:dyDescent="0.2">
      <c r="C162" s="164"/>
      <c r="D162" s="165"/>
      <c r="E162" s="165"/>
      <c r="H162" s="4"/>
      <c r="I162" s="4"/>
    </row>
    <row r="163" spans="3:9" ht="12.75" x14ac:dyDescent="0.2">
      <c r="C163" s="164"/>
      <c r="D163" s="165"/>
      <c r="E163" s="165"/>
      <c r="H163" s="4"/>
      <c r="I163" s="4"/>
    </row>
    <row r="164" spans="3:9" ht="12.75" x14ac:dyDescent="0.2">
      <c r="C164" s="164"/>
      <c r="D164" s="165"/>
      <c r="E164" s="165"/>
      <c r="H164" s="4"/>
      <c r="I164" s="4"/>
    </row>
    <row r="165" spans="3:9" ht="12.75" x14ac:dyDescent="0.2">
      <c r="C165" s="164"/>
      <c r="D165" s="165"/>
      <c r="E165" s="165"/>
      <c r="H165" s="4"/>
      <c r="I165" s="4"/>
    </row>
    <row r="166" spans="3:9" ht="12.75" x14ac:dyDescent="0.2">
      <c r="C166" s="164"/>
      <c r="D166" s="165"/>
      <c r="E166" s="165"/>
      <c r="H166" s="4"/>
      <c r="I166" s="4"/>
    </row>
    <row r="167" spans="3:9" ht="12.75" x14ac:dyDescent="0.2">
      <c r="C167" s="164"/>
      <c r="D167" s="165"/>
      <c r="E167" s="165"/>
      <c r="H167" s="4"/>
      <c r="I167" s="4"/>
    </row>
    <row r="168" spans="3:9" ht="12.75" x14ac:dyDescent="0.2">
      <c r="C168" s="164"/>
      <c r="D168" s="165"/>
      <c r="E168" s="165"/>
      <c r="H168" s="4"/>
      <c r="I168" s="4"/>
    </row>
    <row r="169" spans="3:9" ht="12.75" x14ac:dyDescent="0.2">
      <c r="C169" s="164"/>
      <c r="D169" s="165"/>
      <c r="E169" s="165"/>
      <c r="H169" s="4"/>
      <c r="I169" s="4"/>
    </row>
    <row r="170" spans="3:9" ht="12.75" x14ac:dyDescent="0.2">
      <c r="C170" s="164"/>
      <c r="D170" s="165"/>
      <c r="E170" s="165"/>
      <c r="H170" s="4"/>
      <c r="I170" s="4"/>
    </row>
    <row r="171" spans="3:9" ht="12.75" x14ac:dyDescent="0.2">
      <c r="C171" s="164"/>
      <c r="D171" s="165"/>
      <c r="E171" s="165"/>
      <c r="H171" s="4"/>
      <c r="I171" s="4"/>
    </row>
    <row r="172" spans="3:9" ht="12.75" x14ac:dyDescent="0.2">
      <c r="C172" s="164"/>
      <c r="D172" s="165"/>
      <c r="E172" s="165"/>
      <c r="H172" s="4"/>
      <c r="I172" s="4"/>
    </row>
    <row r="173" spans="3:9" ht="12.75" x14ac:dyDescent="0.2">
      <c r="C173" s="164"/>
      <c r="D173" s="165"/>
      <c r="E173" s="165"/>
      <c r="H173" s="4"/>
      <c r="I173" s="4"/>
    </row>
    <row r="174" spans="3:9" ht="12.75" x14ac:dyDescent="0.2">
      <c r="C174" s="164"/>
      <c r="D174" s="165"/>
      <c r="E174" s="165"/>
      <c r="H174" s="4"/>
      <c r="I174" s="4"/>
    </row>
    <row r="175" spans="3:9" ht="12.75" x14ac:dyDescent="0.2">
      <c r="C175" s="164"/>
      <c r="D175" s="165"/>
      <c r="E175" s="165"/>
      <c r="H175" s="4"/>
      <c r="I175" s="4"/>
    </row>
    <row r="176" spans="3:9" ht="12.75" x14ac:dyDescent="0.2">
      <c r="C176" s="164"/>
      <c r="D176" s="165"/>
      <c r="E176" s="165"/>
      <c r="H176" s="4"/>
      <c r="I176" s="4"/>
    </row>
    <row r="177" spans="3:9" ht="12.75" x14ac:dyDescent="0.2">
      <c r="C177" s="164"/>
      <c r="D177" s="165"/>
      <c r="E177" s="165"/>
      <c r="H177" s="4"/>
      <c r="I177" s="4"/>
    </row>
    <row r="178" spans="3:9" ht="12.75" x14ac:dyDescent="0.2">
      <c r="C178" s="164"/>
      <c r="D178" s="165"/>
      <c r="E178" s="165"/>
      <c r="H178" s="4"/>
      <c r="I178" s="4"/>
    </row>
    <row r="179" spans="3:9" ht="12.75" x14ac:dyDescent="0.2">
      <c r="C179" s="164"/>
      <c r="D179" s="165"/>
      <c r="E179" s="165"/>
      <c r="H179" s="4"/>
      <c r="I179" s="4"/>
    </row>
    <row r="180" spans="3:9" ht="12.75" x14ac:dyDescent="0.2">
      <c r="C180" s="164"/>
      <c r="D180" s="165"/>
      <c r="E180" s="165"/>
      <c r="H180" s="4"/>
      <c r="I180" s="4"/>
    </row>
    <row r="181" spans="3:9" ht="12.75" x14ac:dyDescent="0.2">
      <c r="C181" s="164"/>
      <c r="D181" s="165"/>
      <c r="E181" s="165"/>
      <c r="H181" s="4"/>
      <c r="I181" s="4"/>
    </row>
    <row r="182" spans="3:9" ht="12.75" x14ac:dyDescent="0.2">
      <c r="C182" s="164"/>
      <c r="D182" s="165"/>
      <c r="E182" s="165"/>
      <c r="H182" s="4"/>
      <c r="I182" s="4"/>
    </row>
    <row r="183" spans="3:9" ht="12.75" x14ac:dyDescent="0.2">
      <c r="C183" s="164"/>
      <c r="D183" s="165"/>
      <c r="E183" s="165"/>
      <c r="H183" s="4"/>
      <c r="I183" s="4"/>
    </row>
    <row r="184" spans="3:9" ht="12.75" x14ac:dyDescent="0.2">
      <c r="C184" s="164"/>
      <c r="D184" s="165"/>
      <c r="E184" s="165"/>
      <c r="H184" s="4"/>
      <c r="I184" s="4"/>
    </row>
    <row r="185" spans="3:9" ht="12.75" x14ac:dyDescent="0.2">
      <c r="C185" s="164"/>
      <c r="D185" s="165"/>
      <c r="E185" s="165"/>
      <c r="H185" s="4"/>
      <c r="I185" s="4"/>
    </row>
    <row r="186" spans="3:9" ht="12.75" x14ac:dyDescent="0.2">
      <c r="C186" s="164"/>
      <c r="D186" s="165"/>
      <c r="E186" s="165"/>
      <c r="H186" s="4"/>
      <c r="I186" s="4"/>
    </row>
    <row r="187" spans="3:9" ht="12.75" x14ac:dyDescent="0.2">
      <c r="C187" s="164"/>
      <c r="D187" s="165"/>
      <c r="E187" s="165"/>
      <c r="H187" s="4"/>
      <c r="I187" s="4"/>
    </row>
    <row r="188" spans="3:9" ht="12.75" x14ac:dyDescent="0.2">
      <c r="C188" s="164"/>
      <c r="D188" s="165"/>
      <c r="E188" s="165"/>
      <c r="H188" s="4"/>
      <c r="I188" s="4"/>
    </row>
    <row r="189" spans="3:9" ht="12.75" x14ac:dyDescent="0.2">
      <c r="C189" s="164"/>
      <c r="D189" s="165"/>
      <c r="E189" s="165"/>
      <c r="H189" s="4"/>
      <c r="I189" s="4"/>
    </row>
    <row r="190" spans="3:9" ht="12.75" x14ac:dyDescent="0.2">
      <c r="C190" s="164"/>
      <c r="D190" s="165"/>
      <c r="E190" s="165"/>
      <c r="H190" s="4"/>
      <c r="I190" s="4"/>
    </row>
    <row r="191" spans="3:9" ht="12.75" x14ac:dyDescent="0.2">
      <c r="C191" s="164"/>
      <c r="D191" s="165"/>
      <c r="E191" s="165"/>
      <c r="H191" s="4"/>
      <c r="I191" s="4"/>
    </row>
    <row r="192" spans="3:9" ht="12.75" x14ac:dyDescent="0.2">
      <c r="C192" s="164"/>
      <c r="D192" s="165"/>
      <c r="E192" s="165"/>
      <c r="H192" s="4"/>
      <c r="I192" s="4"/>
    </row>
    <row r="193" spans="3:9" ht="12.75" x14ac:dyDescent="0.2">
      <c r="C193" s="164"/>
      <c r="D193" s="165"/>
      <c r="E193" s="165"/>
      <c r="H193" s="4"/>
      <c r="I193" s="4"/>
    </row>
    <row r="194" spans="3:9" ht="12.75" x14ac:dyDescent="0.2">
      <c r="C194" s="164"/>
      <c r="D194" s="165"/>
      <c r="E194" s="165"/>
      <c r="H194" s="4"/>
      <c r="I194" s="4"/>
    </row>
    <row r="195" spans="3:9" ht="12.75" x14ac:dyDescent="0.2">
      <c r="C195" s="164"/>
      <c r="D195" s="165"/>
      <c r="E195" s="165"/>
      <c r="H195" s="4"/>
      <c r="I195" s="4"/>
    </row>
    <row r="196" spans="3:9" ht="12.75" x14ac:dyDescent="0.2">
      <c r="C196" s="164"/>
      <c r="D196" s="165"/>
      <c r="E196" s="165"/>
      <c r="H196" s="4"/>
      <c r="I196" s="4"/>
    </row>
    <row r="197" spans="3:9" ht="12.75" x14ac:dyDescent="0.2">
      <c r="C197" s="164"/>
      <c r="D197" s="165"/>
      <c r="E197" s="165"/>
      <c r="H197" s="4"/>
      <c r="I197" s="4"/>
    </row>
    <row r="198" spans="3:9" ht="12.75" x14ac:dyDescent="0.2">
      <c r="C198" s="164"/>
      <c r="D198" s="165"/>
      <c r="E198" s="165"/>
      <c r="H198" s="4"/>
      <c r="I198" s="4"/>
    </row>
    <row r="199" spans="3:9" ht="12.75" x14ac:dyDescent="0.2">
      <c r="C199" s="164"/>
      <c r="D199" s="165"/>
      <c r="E199" s="165"/>
      <c r="H199" s="4"/>
      <c r="I199" s="4"/>
    </row>
    <row r="200" spans="3:9" ht="12.75" x14ac:dyDescent="0.2">
      <c r="C200" s="164"/>
      <c r="D200" s="165"/>
      <c r="E200" s="165"/>
      <c r="H200" s="4"/>
      <c r="I200" s="4"/>
    </row>
    <row r="201" spans="3:9" ht="12.75" x14ac:dyDescent="0.2">
      <c r="C201" s="164"/>
      <c r="D201" s="165"/>
      <c r="E201" s="165"/>
      <c r="H201" s="4"/>
      <c r="I201" s="4"/>
    </row>
    <row r="202" spans="3:9" ht="12.75" x14ac:dyDescent="0.2">
      <c r="C202" s="164"/>
      <c r="D202" s="165"/>
      <c r="E202" s="165"/>
      <c r="H202" s="4"/>
      <c r="I202" s="4"/>
    </row>
    <row r="203" spans="3:9" ht="12.75" x14ac:dyDescent="0.2">
      <c r="C203" s="164"/>
      <c r="D203" s="165"/>
      <c r="E203" s="165"/>
      <c r="H203" s="4"/>
      <c r="I203" s="4"/>
    </row>
    <row r="204" spans="3:9" ht="12.75" x14ac:dyDescent="0.2">
      <c r="C204" s="164"/>
      <c r="D204" s="165"/>
      <c r="E204" s="165"/>
      <c r="H204" s="4"/>
      <c r="I204" s="4"/>
    </row>
    <row r="205" spans="3:9" ht="12.75" x14ac:dyDescent="0.2">
      <c r="C205" s="164"/>
      <c r="D205" s="165"/>
      <c r="E205" s="165"/>
      <c r="H205" s="4"/>
      <c r="I205" s="4"/>
    </row>
    <row r="206" spans="3:9" ht="12.75" x14ac:dyDescent="0.2">
      <c r="C206" s="164"/>
      <c r="D206" s="165"/>
      <c r="E206" s="165"/>
      <c r="H206" s="4"/>
      <c r="I206" s="4"/>
    </row>
    <row r="207" spans="3:9" ht="12.75" x14ac:dyDescent="0.2">
      <c r="C207" s="164"/>
      <c r="D207" s="165"/>
      <c r="E207" s="165"/>
      <c r="H207" s="4"/>
      <c r="I207" s="4"/>
    </row>
    <row r="208" spans="3:9" ht="12.75" x14ac:dyDescent="0.2">
      <c r="C208" s="164"/>
      <c r="D208" s="165"/>
      <c r="E208" s="165"/>
      <c r="H208" s="4"/>
      <c r="I208" s="4"/>
    </row>
    <row r="209" spans="3:9" ht="12.75" x14ac:dyDescent="0.2">
      <c r="C209" s="164"/>
      <c r="D209" s="165"/>
      <c r="E209" s="165"/>
      <c r="H209" s="4"/>
      <c r="I209" s="4"/>
    </row>
    <row r="210" spans="3:9" ht="12.75" x14ac:dyDescent="0.2">
      <c r="C210" s="164"/>
      <c r="D210" s="165"/>
      <c r="E210" s="165"/>
      <c r="H210" s="4"/>
      <c r="I210" s="4"/>
    </row>
    <row r="211" spans="3:9" ht="12.75" x14ac:dyDescent="0.2">
      <c r="C211" s="164"/>
      <c r="D211" s="165"/>
      <c r="E211" s="165"/>
      <c r="H211" s="4"/>
      <c r="I211" s="4"/>
    </row>
    <row r="212" spans="3:9" ht="12.75" x14ac:dyDescent="0.2">
      <c r="C212" s="164"/>
      <c r="D212" s="165"/>
      <c r="E212" s="165"/>
      <c r="H212" s="4"/>
      <c r="I212" s="4"/>
    </row>
    <row r="213" spans="3:9" ht="12.75" x14ac:dyDescent="0.2">
      <c r="C213" s="164"/>
      <c r="D213" s="165"/>
      <c r="E213" s="165"/>
      <c r="H213" s="4"/>
      <c r="I213" s="4"/>
    </row>
    <row r="214" spans="3:9" ht="12.75" x14ac:dyDescent="0.2">
      <c r="C214" s="164"/>
      <c r="D214" s="165"/>
      <c r="E214" s="165"/>
      <c r="H214" s="4"/>
      <c r="I214" s="4"/>
    </row>
    <row r="215" spans="3:9" ht="12.75" x14ac:dyDescent="0.2">
      <c r="C215" s="164"/>
      <c r="D215" s="165"/>
      <c r="E215" s="165"/>
      <c r="H215" s="4"/>
      <c r="I215" s="4"/>
    </row>
    <row r="216" spans="3:9" ht="12.75" x14ac:dyDescent="0.2">
      <c r="C216" s="164"/>
      <c r="D216" s="165"/>
      <c r="E216" s="165"/>
      <c r="H216" s="4"/>
      <c r="I216" s="4"/>
    </row>
    <row r="217" spans="3:9" ht="12.75" x14ac:dyDescent="0.2">
      <c r="C217" s="164"/>
      <c r="D217" s="165"/>
      <c r="E217" s="165"/>
      <c r="H217" s="4"/>
      <c r="I217" s="4"/>
    </row>
    <row r="218" spans="3:9" ht="12.75" x14ac:dyDescent="0.2">
      <c r="C218" s="164"/>
      <c r="D218" s="165"/>
      <c r="E218" s="165"/>
      <c r="H218" s="4"/>
      <c r="I218" s="4"/>
    </row>
    <row r="219" spans="3:9" ht="12.75" x14ac:dyDescent="0.2">
      <c r="C219" s="164"/>
      <c r="D219" s="165"/>
      <c r="E219" s="165"/>
      <c r="H219" s="4"/>
      <c r="I219" s="4"/>
    </row>
    <row r="220" spans="3:9" ht="12.75" x14ac:dyDescent="0.2">
      <c r="C220" s="164"/>
      <c r="D220" s="165"/>
      <c r="E220" s="165"/>
      <c r="H220" s="4"/>
      <c r="I220" s="4"/>
    </row>
    <row r="221" spans="3:9" ht="12.75" x14ac:dyDescent="0.2">
      <c r="C221" s="164"/>
      <c r="D221" s="165"/>
      <c r="E221" s="165"/>
      <c r="H221" s="4"/>
      <c r="I221" s="4"/>
    </row>
    <row r="222" spans="3:9" ht="12.75" x14ac:dyDescent="0.2">
      <c r="C222" s="164"/>
      <c r="D222" s="165"/>
      <c r="E222" s="165"/>
      <c r="H222" s="4"/>
      <c r="I222" s="4"/>
    </row>
    <row r="223" spans="3:9" ht="12.75" x14ac:dyDescent="0.2">
      <c r="C223" s="164"/>
      <c r="D223" s="165"/>
      <c r="E223" s="165"/>
      <c r="H223" s="4"/>
      <c r="I223" s="4"/>
    </row>
    <row r="224" spans="3:9" ht="12.75" x14ac:dyDescent="0.2">
      <c r="C224" s="164"/>
      <c r="D224" s="165"/>
      <c r="E224" s="165"/>
      <c r="H224" s="4"/>
      <c r="I224" s="4"/>
    </row>
    <row r="225" spans="3:9" ht="12.75" x14ac:dyDescent="0.2">
      <c r="C225" s="164"/>
      <c r="D225" s="165"/>
      <c r="E225" s="165"/>
      <c r="H225" s="4"/>
      <c r="I225" s="4"/>
    </row>
    <row r="226" spans="3:9" ht="12.75" x14ac:dyDescent="0.2">
      <c r="C226" s="164"/>
      <c r="D226" s="165"/>
      <c r="E226" s="165"/>
      <c r="H226" s="4"/>
      <c r="I226" s="4"/>
    </row>
    <row r="227" spans="3:9" ht="12.75" x14ac:dyDescent="0.2">
      <c r="C227" s="164"/>
      <c r="D227" s="165"/>
      <c r="E227" s="165"/>
      <c r="H227" s="4"/>
      <c r="I227" s="4"/>
    </row>
    <row r="228" spans="3:9" ht="12.75" x14ac:dyDescent="0.2">
      <c r="C228" s="164"/>
      <c r="D228" s="165"/>
      <c r="E228" s="165"/>
      <c r="H228" s="4"/>
      <c r="I228" s="4"/>
    </row>
    <row r="229" spans="3:9" ht="12.75" x14ac:dyDescent="0.2">
      <c r="C229" s="164"/>
      <c r="D229" s="165"/>
      <c r="E229" s="165"/>
      <c r="H229" s="4"/>
      <c r="I229" s="4"/>
    </row>
    <row r="230" spans="3:9" ht="12.75" x14ac:dyDescent="0.2">
      <c r="C230" s="164"/>
      <c r="D230" s="165"/>
      <c r="E230" s="165"/>
      <c r="H230" s="4"/>
      <c r="I230" s="4"/>
    </row>
    <row r="231" spans="3:9" ht="12.75" x14ac:dyDescent="0.2">
      <c r="C231" s="164"/>
      <c r="D231" s="165"/>
      <c r="E231" s="165"/>
      <c r="H231" s="4"/>
      <c r="I231" s="4"/>
    </row>
    <row r="232" spans="3:9" ht="12.75" x14ac:dyDescent="0.2">
      <c r="C232" s="164"/>
      <c r="D232" s="165"/>
      <c r="E232" s="165"/>
      <c r="H232" s="4"/>
      <c r="I232" s="4"/>
    </row>
    <row r="233" spans="3:9" ht="12.75" x14ac:dyDescent="0.2">
      <c r="C233" s="164"/>
      <c r="D233" s="165"/>
      <c r="E233" s="165"/>
      <c r="H233" s="4"/>
      <c r="I233" s="4"/>
    </row>
    <row r="234" spans="3:9" ht="12.75" x14ac:dyDescent="0.2">
      <c r="C234" s="164"/>
      <c r="D234" s="165"/>
      <c r="E234" s="165"/>
      <c r="H234" s="4"/>
      <c r="I234" s="4"/>
    </row>
    <row r="235" spans="3:9" ht="12.75" x14ac:dyDescent="0.2">
      <c r="C235" s="164"/>
      <c r="D235" s="165"/>
      <c r="E235" s="165"/>
      <c r="H235" s="4"/>
      <c r="I235" s="4"/>
    </row>
    <row r="236" spans="3:9" ht="12.75" x14ac:dyDescent="0.2">
      <c r="C236" s="164"/>
      <c r="D236" s="165"/>
      <c r="E236" s="165"/>
      <c r="H236" s="4"/>
      <c r="I236" s="4"/>
    </row>
    <row r="237" spans="3:9" ht="12.75" x14ac:dyDescent="0.2">
      <c r="C237" s="164"/>
      <c r="D237" s="165"/>
      <c r="E237" s="165"/>
      <c r="H237" s="4"/>
      <c r="I237" s="4"/>
    </row>
    <row r="238" spans="3:9" ht="12.75" x14ac:dyDescent="0.2">
      <c r="C238" s="164"/>
      <c r="D238" s="165"/>
      <c r="E238" s="165"/>
      <c r="H238" s="4"/>
      <c r="I238" s="4"/>
    </row>
    <row r="239" spans="3:9" ht="12.75" x14ac:dyDescent="0.2">
      <c r="C239" s="164"/>
      <c r="D239" s="165"/>
      <c r="E239" s="165"/>
      <c r="H239" s="4"/>
      <c r="I239" s="4"/>
    </row>
    <row r="240" spans="3:9" ht="12.75" x14ac:dyDescent="0.2">
      <c r="C240" s="164"/>
      <c r="D240" s="165"/>
      <c r="E240" s="165"/>
      <c r="H240" s="4"/>
      <c r="I240" s="4"/>
    </row>
    <row r="241" spans="3:9" ht="12.75" x14ac:dyDescent="0.2">
      <c r="C241" s="164"/>
      <c r="D241" s="165"/>
      <c r="E241" s="165"/>
      <c r="H241" s="4"/>
      <c r="I241" s="4"/>
    </row>
    <row r="242" spans="3:9" ht="12.75" x14ac:dyDescent="0.2">
      <c r="C242" s="164"/>
      <c r="D242" s="165"/>
      <c r="E242" s="165"/>
      <c r="H242" s="4"/>
      <c r="I242" s="4"/>
    </row>
    <row r="243" spans="3:9" ht="12.75" x14ac:dyDescent="0.2">
      <c r="C243" s="164"/>
      <c r="D243" s="165"/>
      <c r="E243" s="165"/>
      <c r="H243" s="4"/>
      <c r="I243" s="4"/>
    </row>
    <row r="244" spans="3:9" ht="12.75" x14ac:dyDescent="0.2">
      <c r="C244" s="164"/>
      <c r="D244" s="165"/>
      <c r="E244" s="165"/>
      <c r="H244" s="4"/>
      <c r="I244" s="4"/>
    </row>
    <row r="245" spans="3:9" ht="12.75" x14ac:dyDescent="0.2">
      <c r="C245" s="164"/>
      <c r="D245" s="165"/>
      <c r="E245" s="165"/>
      <c r="H245" s="4"/>
      <c r="I245" s="4"/>
    </row>
    <row r="246" spans="3:9" ht="12.75" x14ac:dyDescent="0.2">
      <c r="C246" s="164"/>
      <c r="D246" s="165"/>
      <c r="E246" s="165"/>
      <c r="H246" s="4"/>
      <c r="I246" s="4"/>
    </row>
    <row r="247" spans="3:9" ht="12.75" x14ac:dyDescent="0.2">
      <c r="C247" s="164"/>
      <c r="D247" s="165"/>
      <c r="E247" s="165"/>
      <c r="H247" s="4"/>
      <c r="I247" s="4"/>
    </row>
    <row r="248" spans="3:9" ht="12.75" x14ac:dyDescent="0.2">
      <c r="C248" s="164"/>
      <c r="D248" s="165"/>
      <c r="E248" s="165"/>
      <c r="H248" s="4"/>
      <c r="I248" s="4"/>
    </row>
    <row r="249" spans="3:9" ht="12.75" x14ac:dyDescent="0.2">
      <c r="C249" s="164"/>
      <c r="D249" s="165"/>
      <c r="E249" s="165"/>
      <c r="H249" s="4"/>
      <c r="I249" s="4"/>
    </row>
    <row r="250" spans="3:9" ht="12.75" x14ac:dyDescent="0.2">
      <c r="C250" s="164"/>
      <c r="D250" s="165"/>
      <c r="E250" s="165"/>
      <c r="H250" s="4"/>
      <c r="I250" s="4"/>
    </row>
    <row r="251" spans="3:9" ht="12.75" x14ac:dyDescent="0.2">
      <c r="C251" s="164"/>
      <c r="D251" s="165"/>
      <c r="E251" s="165"/>
      <c r="H251" s="4"/>
      <c r="I251" s="4"/>
    </row>
    <row r="252" spans="3:9" ht="12.75" x14ac:dyDescent="0.2">
      <c r="C252" s="164"/>
      <c r="D252" s="165"/>
      <c r="E252" s="165"/>
      <c r="H252" s="4"/>
      <c r="I252" s="4"/>
    </row>
    <row r="253" spans="3:9" ht="12.75" x14ac:dyDescent="0.2">
      <c r="C253" s="164"/>
      <c r="D253" s="165"/>
      <c r="E253" s="165"/>
      <c r="H253" s="4"/>
      <c r="I253" s="4"/>
    </row>
    <row r="254" spans="3:9" ht="12.75" x14ac:dyDescent="0.2">
      <c r="C254" s="164"/>
      <c r="D254" s="165"/>
      <c r="E254" s="165"/>
      <c r="H254" s="4"/>
      <c r="I254" s="4"/>
    </row>
    <row r="255" spans="3:9" ht="12.75" x14ac:dyDescent="0.2">
      <c r="C255" s="164"/>
      <c r="D255" s="165"/>
      <c r="E255" s="165"/>
      <c r="H255" s="4"/>
      <c r="I255" s="4"/>
    </row>
    <row r="256" spans="3:9" ht="12.75" x14ac:dyDescent="0.2">
      <c r="C256" s="164"/>
      <c r="D256" s="165"/>
      <c r="E256" s="165"/>
      <c r="H256" s="4"/>
      <c r="I256" s="4"/>
    </row>
    <row r="257" spans="3:9" ht="12.75" x14ac:dyDescent="0.2">
      <c r="C257" s="164"/>
      <c r="D257" s="165"/>
      <c r="E257" s="165"/>
      <c r="H257" s="4"/>
      <c r="I257" s="4"/>
    </row>
    <row r="258" spans="3:9" ht="12.75" x14ac:dyDescent="0.2">
      <c r="C258" s="164"/>
      <c r="D258" s="165"/>
      <c r="E258" s="165"/>
      <c r="H258" s="4"/>
      <c r="I258" s="4"/>
    </row>
    <row r="259" spans="3:9" ht="12.75" x14ac:dyDescent="0.2">
      <c r="C259" s="164"/>
      <c r="D259" s="165"/>
      <c r="E259" s="165"/>
      <c r="H259" s="4"/>
      <c r="I259" s="4"/>
    </row>
    <row r="260" spans="3:9" ht="12.75" x14ac:dyDescent="0.2">
      <c r="C260" s="164"/>
      <c r="D260" s="165"/>
      <c r="E260" s="165"/>
      <c r="H260" s="4"/>
      <c r="I260" s="4"/>
    </row>
    <row r="261" spans="3:9" ht="12.75" x14ac:dyDescent="0.2">
      <c r="C261" s="164"/>
      <c r="D261" s="165"/>
      <c r="E261" s="165"/>
      <c r="H261" s="4"/>
      <c r="I261" s="4"/>
    </row>
    <row r="262" spans="3:9" ht="12.75" x14ac:dyDescent="0.2">
      <c r="C262" s="164"/>
      <c r="D262" s="165"/>
      <c r="E262" s="165"/>
      <c r="H262" s="4"/>
      <c r="I262" s="4"/>
    </row>
    <row r="263" spans="3:9" ht="12.75" x14ac:dyDescent="0.2">
      <c r="C263" s="164"/>
      <c r="D263" s="165"/>
      <c r="E263" s="165"/>
      <c r="H263" s="4"/>
      <c r="I263" s="4"/>
    </row>
    <row r="264" spans="3:9" ht="12.75" x14ac:dyDescent="0.2">
      <c r="C264" s="164"/>
      <c r="D264" s="165"/>
      <c r="E264" s="165"/>
      <c r="H264" s="4"/>
      <c r="I264" s="4"/>
    </row>
    <row r="265" spans="3:9" ht="12.75" x14ac:dyDescent="0.2">
      <c r="C265" s="164"/>
      <c r="D265" s="165"/>
      <c r="E265" s="165"/>
      <c r="H265" s="4"/>
      <c r="I265" s="4"/>
    </row>
    <row r="266" spans="3:9" ht="12.75" x14ac:dyDescent="0.2">
      <c r="C266" s="164"/>
      <c r="D266" s="165"/>
      <c r="E266" s="165"/>
      <c r="H266" s="4"/>
      <c r="I266" s="4"/>
    </row>
    <row r="267" spans="3:9" ht="12.75" x14ac:dyDescent="0.2">
      <c r="C267" s="164"/>
      <c r="D267" s="165"/>
      <c r="E267" s="165"/>
      <c r="H267" s="4"/>
      <c r="I267" s="4"/>
    </row>
    <row r="268" spans="3:9" ht="12.75" x14ac:dyDescent="0.2">
      <c r="C268" s="164"/>
      <c r="D268" s="165"/>
      <c r="E268" s="165"/>
      <c r="H268" s="4"/>
      <c r="I268" s="4"/>
    </row>
    <row r="269" spans="3:9" ht="12.75" x14ac:dyDescent="0.2">
      <c r="C269" s="164"/>
      <c r="D269" s="165"/>
      <c r="E269" s="165"/>
      <c r="H269" s="4"/>
      <c r="I269" s="4"/>
    </row>
    <row r="270" spans="3:9" ht="12.75" x14ac:dyDescent="0.2">
      <c r="C270" s="164"/>
      <c r="D270" s="165"/>
      <c r="E270" s="165"/>
      <c r="H270" s="4"/>
      <c r="I270" s="4"/>
    </row>
    <row r="271" spans="3:9" ht="12.75" x14ac:dyDescent="0.2">
      <c r="C271" s="164"/>
      <c r="D271" s="165"/>
      <c r="E271" s="165"/>
      <c r="H271" s="4"/>
      <c r="I271" s="4"/>
    </row>
    <row r="272" spans="3:9" ht="12.75" x14ac:dyDescent="0.2">
      <c r="C272" s="164"/>
      <c r="D272" s="165"/>
      <c r="E272" s="165"/>
      <c r="H272" s="4"/>
      <c r="I272" s="4"/>
    </row>
    <row r="273" spans="3:9" ht="12.75" x14ac:dyDescent="0.2">
      <c r="C273" s="164"/>
      <c r="D273" s="165"/>
      <c r="E273" s="165"/>
      <c r="H273" s="4"/>
      <c r="I273" s="4"/>
    </row>
    <row r="274" spans="3:9" ht="12.75" x14ac:dyDescent="0.2">
      <c r="C274" s="164"/>
      <c r="D274" s="165"/>
      <c r="E274" s="165"/>
      <c r="H274" s="4"/>
      <c r="I274" s="4"/>
    </row>
    <row r="275" spans="3:9" ht="12.75" x14ac:dyDescent="0.2">
      <c r="C275" s="164"/>
      <c r="D275" s="165"/>
      <c r="E275" s="165"/>
      <c r="H275" s="4"/>
      <c r="I275" s="4"/>
    </row>
    <row r="276" spans="3:9" ht="12.75" x14ac:dyDescent="0.2">
      <c r="C276" s="164"/>
      <c r="D276" s="165"/>
      <c r="E276" s="165"/>
      <c r="H276" s="4"/>
      <c r="I276" s="4"/>
    </row>
    <row r="277" spans="3:9" ht="12.75" x14ac:dyDescent="0.2">
      <c r="C277" s="164"/>
      <c r="D277" s="165"/>
      <c r="E277" s="165"/>
      <c r="H277" s="4"/>
      <c r="I277" s="4"/>
    </row>
    <row r="278" spans="3:9" ht="12.75" x14ac:dyDescent="0.2">
      <c r="C278" s="164"/>
      <c r="D278" s="165"/>
      <c r="E278" s="165"/>
      <c r="H278" s="4"/>
      <c r="I278" s="4"/>
    </row>
    <row r="279" spans="3:9" ht="12.75" x14ac:dyDescent="0.2">
      <c r="C279" s="164"/>
      <c r="D279" s="165"/>
      <c r="E279" s="165"/>
      <c r="H279" s="4"/>
      <c r="I279" s="4"/>
    </row>
    <row r="280" spans="3:9" ht="12.75" x14ac:dyDescent="0.2">
      <c r="C280" s="164"/>
      <c r="D280" s="165"/>
      <c r="E280" s="165"/>
      <c r="H280" s="4"/>
      <c r="I280" s="4"/>
    </row>
    <row r="281" spans="3:9" ht="12.75" x14ac:dyDescent="0.2">
      <c r="C281" s="164"/>
      <c r="D281" s="165"/>
      <c r="E281" s="165"/>
      <c r="H281" s="4"/>
      <c r="I281" s="4"/>
    </row>
    <row r="282" spans="3:9" ht="12.75" x14ac:dyDescent="0.2">
      <c r="C282" s="164"/>
      <c r="D282" s="165"/>
      <c r="E282" s="165"/>
      <c r="H282" s="4"/>
      <c r="I282" s="4"/>
    </row>
    <row r="283" spans="3:9" ht="12.75" x14ac:dyDescent="0.2">
      <c r="C283" s="164"/>
      <c r="D283" s="165"/>
      <c r="E283" s="165"/>
      <c r="H283" s="4"/>
      <c r="I283" s="4"/>
    </row>
    <row r="284" spans="3:9" ht="12.75" x14ac:dyDescent="0.2">
      <c r="C284" s="164"/>
      <c r="D284" s="165"/>
      <c r="E284" s="165"/>
      <c r="H284" s="4"/>
      <c r="I284" s="4"/>
    </row>
    <row r="285" spans="3:9" ht="12.75" x14ac:dyDescent="0.2">
      <c r="C285" s="164"/>
      <c r="D285" s="165"/>
      <c r="E285" s="165"/>
      <c r="H285" s="4"/>
      <c r="I285" s="4"/>
    </row>
    <row r="286" spans="3:9" ht="12.75" x14ac:dyDescent="0.2">
      <c r="C286" s="164"/>
      <c r="D286" s="165"/>
      <c r="E286" s="165"/>
      <c r="H286" s="4"/>
      <c r="I286" s="4"/>
    </row>
    <row r="287" spans="3:9" ht="12.75" x14ac:dyDescent="0.2">
      <c r="C287" s="164"/>
      <c r="D287" s="165"/>
      <c r="E287" s="165"/>
      <c r="H287" s="4"/>
      <c r="I287" s="4"/>
    </row>
    <row r="288" spans="3:9" ht="12.75" x14ac:dyDescent="0.2">
      <c r="C288" s="164"/>
      <c r="D288" s="165"/>
      <c r="E288" s="165"/>
      <c r="H288" s="4"/>
      <c r="I288" s="4"/>
    </row>
    <row r="289" spans="3:9" ht="12.75" x14ac:dyDescent="0.2">
      <c r="C289" s="164"/>
      <c r="D289" s="165"/>
      <c r="E289" s="165"/>
      <c r="H289" s="4"/>
      <c r="I289" s="4"/>
    </row>
    <row r="290" spans="3:9" ht="12.75" x14ac:dyDescent="0.2">
      <c r="C290" s="164"/>
      <c r="D290" s="165"/>
      <c r="E290" s="165"/>
      <c r="H290" s="4"/>
      <c r="I290" s="4"/>
    </row>
    <row r="291" spans="3:9" ht="12.75" x14ac:dyDescent="0.2">
      <c r="C291" s="164"/>
      <c r="D291" s="165"/>
      <c r="E291" s="165"/>
      <c r="H291" s="4"/>
      <c r="I291" s="4"/>
    </row>
    <row r="292" spans="3:9" ht="12.75" x14ac:dyDescent="0.2">
      <c r="C292" s="164"/>
      <c r="D292" s="165"/>
      <c r="E292" s="165"/>
      <c r="H292" s="4"/>
      <c r="I292" s="4"/>
    </row>
    <row r="293" spans="3:9" ht="12.75" x14ac:dyDescent="0.2">
      <c r="C293" s="164"/>
      <c r="D293" s="165"/>
      <c r="E293" s="165"/>
      <c r="H293" s="4"/>
      <c r="I293" s="4"/>
    </row>
    <row r="294" spans="3:9" ht="12.75" x14ac:dyDescent="0.2">
      <c r="C294" s="164"/>
      <c r="D294" s="165"/>
      <c r="E294" s="165"/>
      <c r="H294" s="4"/>
      <c r="I294" s="4"/>
    </row>
    <row r="295" spans="3:9" ht="12.75" x14ac:dyDescent="0.2">
      <c r="C295" s="164"/>
      <c r="D295" s="165"/>
      <c r="E295" s="165"/>
      <c r="H295" s="4"/>
      <c r="I295" s="4"/>
    </row>
    <row r="296" spans="3:9" ht="12.75" x14ac:dyDescent="0.2">
      <c r="C296" s="164"/>
      <c r="D296" s="165"/>
      <c r="E296" s="165"/>
      <c r="H296" s="4"/>
      <c r="I296" s="4"/>
    </row>
    <row r="297" spans="3:9" ht="12.75" x14ac:dyDescent="0.2">
      <c r="C297" s="164"/>
      <c r="D297" s="165"/>
      <c r="E297" s="165"/>
      <c r="H297" s="4"/>
      <c r="I297" s="4"/>
    </row>
    <row r="298" spans="3:9" ht="12.75" x14ac:dyDescent="0.2">
      <c r="C298" s="164"/>
      <c r="D298" s="165"/>
      <c r="E298" s="165"/>
      <c r="H298" s="4"/>
      <c r="I298" s="4"/>
    </row>
    <row r="299" spans="3:9" ht="12.75" x14ac:dyDescent="0.2">
      <c r="C299" s="164"/>
      <c r="D299" s="165"/>
      <c r="E299" s="165"/>
      <c r="H299" s="4"/>
      <c r="I299" s="4"/>
    </row>
    <row r="300" spans="3:9" ht="12.75" x14ac:dyDescent="0.2">
      <c r="C300" s="164"/>
      <c r="D300" s="165"/>
      <c r="E300" s="165"/>
      <c r="H300" s="4"/>
      <c r="I300" s="4"/>
    </row>
  </sheetData>
  <hyperlinks>
    <hyperlink ref="H3" r:id="rId1" xr:uid="{00000000-0004-0000-0200-000000000000}"/>
    <hyperlink ref="H4" r:id="rId2" xr:uid="{00000000-0004-0000-0200-000001000000}"/>
    <hyperlink ref="H5" r:id="rId3" xr:uid="{00000000-0004-0000-0200-000002000000}"/>
    <hyperlink ref="H6" r:id="rId4" xr:uid="{00000000-0004-0000-0200-000003000000}"/>
    <hyperlink ref="H7" r:id="rId5" xr:uid="{00000000-0004-0000-0200-000004000000}"/>
    <hyperlink ref="H8" r:id="rId6" xr:uid="{00000000-0004-0000-0200-000005000000}"/>
    <hyperlink ref="H9" r:id="rId7" xr:uid="{00000000-0004-0000-0200-000006000000}"/>
    <hyperlink ref="H10" r:id="rId8" xr:uid="{00000000-0004-0000-0200-000007000000}"/>
    <hyperlink ref="H11" r:id="rId9" xr:uid="{00000000-0004-0000-0200-000008000000}"/>
    <hyperlink ref="H12" r:id="rId10" xr:uid="{00000000-0004-0000-0200-000009000000}"/>
    <hyperlink ref="H13" r:id="rId11" xr:uid="{00000000-0004-0000-0200-00000A000000}"/>
    <hyperlink ref="H14" r:id="rId12" xr:uid="{00000000-0004-0000-0200-00000B000000}"/>
    <hyperlink ref="H15" r:id="rId13" xr:uid="{00000000-0004-0000-0200-00000C000000}"/>
    <hyperlink ref="H16" r:id="rId14" xr:uid="{00000000-0004-0000-0200-00000D000000}"/>
    <hyperlink ref="H17" r:id="rId15" xr:uid="{00000000-0004-0000-0200-00000E000000}"/>
    <hyperlink ref="H18" r:id="rId16" xr:uid="{00000000-0004-0000-0200-00000F000000}"/>
    <hyperlink ref="H19" r:id="rId17" xr:uid="{00000000-0004-0000-0200-000010000000}"/>
    <hyperlink ref="H20" r:id="rId18" xr:uid="{00000000-0004-0000-0200-000011000000}"/>
    <hyperlink ref="H21" r:id="rId19" xr:uid="{00000000-0004-0000-0200-000012000000}"/>
    <hyperlink ref="H22" r:id="rId20" xr:uid="{00000000-0004-0000-0200-000013000000}"/>
    <hyperlink ref="H23" r:id="rId21" xr:uid="{00000000-0004-0000-0200-000014000000}"/>
    <hyperlink ref="H24" r:id="rId22" xr:uid="{00000000-0004-0000-0200-000015000000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97"/>
  <sheetViews>
    <sheetView workbookViewId="0">
      <selection activeCell="G31" sqref="G31"/>
    </sheetView>
  </sheetViews>
  <sheetFormatPr baseColWidth="10" defaultColWidth="12.5703125" defaultRowHeight="15.75" customHeight="1" x14ac:dyDescent="0.2"/>
  <cols>
    <col min="1" max="1" width="3.42578125" customWidth="1"/>
    <col min="2" max="2" width="41.42578125" customWidth="1"/>
    <col min="9" max="9" width="83.5703125" customWidth="1"/>
  </cols>
  <sheetData>
    <row r="1" spans="1:10" ht="15.75" customHeight="1" x14ac:dyDescent="0.25">
      <c r="A1" s="166" t="s">
        <v>268</v>
      </c>
      <c r="B1" s="12"/>
      <c r="C1" s="12"/>
      <c r="D1" s="12"/>
      <c r="E1" s="12"/>
      <c r="F1" s="12"/>
      <c r="G1" s="12"/>
      <c r="H1" s="15"/>
      <c r="I1" s="12"/>
      <c r="J1" s="3"/>
    </row>
    <row r="2" spans="1:10" ht="12.75" x14ac:dyDescent="0.2">
      <c r="A2" s="176"/>
      <c r="B2" s="177" t="s">
        <v>258</v>
      </c>
      <c r="C2" s="177" t="s">
        <v>259</v>
      </c>
      <c r="D2" s="177" t="s">
        <v>260</v>
      </c>
      <c r="E2" s="177" t="s">
        <v>261</v>
      </c>
      <c r="F2" s="198" t="s">
        <v>267</v>
      </c>
      <c r="G2" s="179" t="s">
        <v>257</v>
      </c>
      <c r="H2" s="180">
        <f>SUM(E3:E297)</f>
        <v>1071.54</v>
      </c>
      <c r="I2" s="181" t="s">
        <v>15</v>
      </c>
      <c r="J2" s="3"/>
    </row>
    <row r="3" spans="1:10" ht="12.75" x14ac:dyDescent="0.2">
      <c r="A3" s="168">
        <v>1</v>
      </c>
      <c r="B3" s="4" t="s">
        <v>60</v>
      </c>
      <c r="C3" s="164">
        <v>6</v>
      </c>
      <c r="D3" s="165">
        <v>0.66</v>
      </c>
      <c r="E3" s="165">
        <f t="shared" ref="E3:E23" si="0">C3*D3</f>
        <v>3.96</v>
      </c>
      <c r="F3" s="195" t="s">
        <v>61</v>
      </c>
      <c r="I3" s="167" t="s">
        <v>62</v>
      </c>
      <c r="J3" s="4"/>
    </row>
    <row r="4" spans="1:10" ht="12.75" x14ac:dyDescent="0.2">
      <c r="A4" s="168">
        <v>2</v>
      </c>
      <c r="B4" s="4" t="s">
        <v>63</v>
      </c>
      <c r="C4" s="164">
        <v>12</v>
      </c>
      <c r="D4" s="165">
        <v>1.44</v>
      </c>
      <c r="E4" s="165">
        <f t="shared" si="0"/>
        <v>17.28</v>
      </c>
      <c r="F4" s="195" t="s">
        <v>64</v>
      </c>
      <c r="I4" s="167" t="s">
        <v>65</v>
      </c>
      <c r="J4" s="4"/>
    </row>
    <row r="5" spans="1:10" ht="12.75" x14ac:dyDescent="0.2">
      <c r="A5" s="168">
        <v>3</v>
      </c>
      <c r="B5" s="4" t="s">
        <v>66</v>
      </c>
      <c r="C5" s="164">
        <f>16-5</f>
        <v>11</v>
      </c>
      <c r="D5" s="165">
        <v>6</v>
      </c>
      <c r="E5" s="165">
        <f t="shared" si="0"/>
        <v>66</v>
      </c>
      <c r="F5" s="195" t="s">
        <v>67</v>
      </c>
      <c r="I5" s="167" t="s">
        <v>68</v>
      </c>
      <c r="J5" s="4"/>
    </row>
    <row r="6" spans="1:10" ht="12.75" x14ac:dyDescent="0.2">
      <c r="A6" s="168">
        <v>4</v>
      </c>
      <c r="B6" s="4" t="s">
        <v>69</v>
      </c>
      <c r="C6" s="164">
        <v>4</v>
      </c>
      <c r="D6" s="165">
        <v>38.590000000000003</v>
      </c>
      <c r="E6" s="165">
        <f t="shared" si="0"/>
        <v>154.36000000000001</v>
      </c>
      <c r="F6" s="195" t="s">
        <v>70</v>
      </c>
      <c r="I6" s="196" t="s">
        <v>71</v>
      </c>
      <c r="J6" s="4"/>
    </row>
    <row r="7" spans="1:10" ht="12.75" x14ac:dyDescent="0.2">
      <c r="A7" s="168">
        <v>6</v>
      </c>
      <c r="B7" s="4" t="s">
        <v>72</v>
      </c>
      <c r="C7" s="164">
        <v>4</v>
      </c>
      <c r="D7" s="165">
        <v>0.63</v>
      </c>
      <c r="E7" s="165">
        <f t="shared" si="0"/>
        <v>2.52</v>
      </c>
      <c r="F7" s="195" t="s">
        <v>73</v>
      </c>
      <c r="I7" s="167" t="s">
        <v>74</v>
      </c>
      <c r="J7" s="4"/>
    </row>
    <row r="8" spans="1:10" ht="12.75" x14ac:dyDescent="0.2">
      <c r="A8" s="168">
        <v>7</v>
      </c>
      <c r="B8" s="4" t="s">
        <v>75</v>
      </c>
      <c r="C8" s="164">
        <v>4</v>
      </c>
      <c r="D8" s="165">
        <v>1.04</v>
      </c>
      <c r="E8" s="165">
        <f t="shared" si="0"/>
        <v>4.16</v>
      </c>
      <c r="F8" s="195" t="s">
        <v>76</v>
      </c>
      <c r="I8" s="196" t="s">
        <v>77</v>
      </c>
      <c r="J8" s="4"/>
    </row>
    <row r="9" spans="1:10" ht="12.75" x14ac:dyDescent="0.2">
      <c r="A9" s="168">
        <v>8</v>
      </c>
      <c r="B9" s="4" t="s">
        <v>78</v>
      </c>
      <c r="C9" s="164">
        <f>16-3</f>
        <v>13</v>
      </c>
      <c r="D9" s="165">
        <v>11.76</v>
      </c>
      <c r="E9" s="165">
        <f t="shared" si="0"/>
        <v>152.88</v>
      </c>
      <c r="F9" s="195" t="s">
        <v>79</v>
      </c>
      <c r="I9" s="167" t="s">
        <v>80</v>
      </c>
      <c r="J9" s="4"/>
    </row>
    <row r="10" spans="1:10" ht="12.75" x14ac:dyDescent="0.2">
      <c r="A10" s="168">
        <v>9</v>
      </c>
      <c r="B10" s="4" t="s">
        <v>81</v>
      </c>
      <c r="C10" s="164">
        <f>8-2</f>
        <v>6</v>
      </c>
      <c r="D10" s="165">
        <v>16.399999999999999</v>
      </c>
      <c r="E10" s="165">
        <f t="shared" si="0"/>
        <v>98.399999999999991</v>
      </c>
      <c r="F10" s="195" t="s">
        <v>82</v>
      </c>
      <c r="I10" s="167" t="s">
        <v>83</v>
      </c>
      <c r="J10" s="4"/>
    </row>
    <row r="11" spans="1:10" ht="12.75" x14ac:dyDescent="0.2">
      <c r="A11" s="168">
        <v>10</v>
      </c>
      <c r="B11" s="4" t="s">
        <v>84</v>
      </c>
      <c r="C11" s="164">
        <v>2</v>
      </c>
      <c r="D11" s="165">
        <v>20.43</v>
      </c>
      <c r="E11" s="165">
        <f t="shared" si="0"/>
        <v>40.86</v>
      </c>
      <c r="F11" s="195" t="s">
        <v>85</v>
      </c>
      <c r="I11" s="167" t="s">
        <v>86</v>
      </c>
      <c r="J11" s="4"/>
    </row>
    <row r="12" spans="1:10" ht="12.75" x14ac:dyDescent="0.2">
      <c r="A12" s="168">
        <v>11</v>
      </c>
      <c r="B12" s="4" t="s">
        <v>87</v>
      </c>
      <c r="C12" s="164">
        <f>113-25 +12</f>
        <v>100</v>
      </c>
      <c r="D12" s="165">
        <v>0.99</v>
      </c>
      <c r="E12" s="165">
        <f t="shared" si="0"/>
        <v>99</v>
      </c>
      <c r="F12" s="195" t="s">
        <v>88</v>
      </c>
      <c r="I12" s="167" t="s">
        <v>89</v>
      </c>
      <c r="J12" s="4"/>
    </row>
    <row r="13" spans="1:10" ht="12.75" x14ac:dyDescent="0.2">
      <c r="A13" s="168">
        <v>12</v>
      </c>
      <c r="B13" s="4" t="s">
        <v>90</v>
      </c>
      <c r="C13" s="164">
        <f>213+7</f>
        <v>220</v>
      </c>
      <c r="D13" s="165">
        <v>0.45</v>
      </c>
      <c r="E13" s="165">
        <f t="shared" si="0"/>
        <v>99</v>
      </c>
      <c r="F13" s="195" t="s">
        <v>91</v>
      </c>
      <c r="I13" s="167" t="s">
        <v>92</v>
      </c>
      <c r="J13" s="4"/>
    </row>
    <row r="14" spans="1:10" ht="12.75" x14ac:dyDescent="0.2">
      <c r="A14" s="168">
        <v>13</v>
      </c>
      <c r="B14" s="4" t="s">
        <v>93</v>
      </c>
      <c r="C14" s="164">
        <v>2</v>
      </c>
      <c r="D14" s="165">
        <v>17.649999999999999</v>
      </c>
      <c r="E14" s="165">
        <f t="shared" si="0"/>
        <v>35.299999999999997</v>
      </c>
      <c r="F14" s="195" t="s">
        <v>94</v>
      </c>
      <c r="I14" s="167" t="s">
        <v>95</v>
      </c>
      <c r="J14" s="4"/>
    </row>
    <row r="15" spans="1:10" ht="12.75" x14ac:dyDescent="0.2">
      <c r="A15" s="168">
        <v>14</v>
      </c>
      <c r="B15" s="4" t="s">
        <v>96</v>
      </c>
      <c r="C15" s="164">
        <v>2</v>
      </c>
      <c r="D15" s="165">
        <v>22.9</v>
      </c>
      <c r="E15" s="165">
        <f t="shared" si="0"/>
        <v>45.8</v>
      </c>
      <c r="F15" s="195" t="s">
        <v>94</v>
      </c>
      <c r="I15" s="196" t="s">
        <v>97</v>
      </c>
      <c r="J15" s="4"/>
    </row>
    <row r="16" spans="1:10" ht="12.75" x14ac:dyDescent="0.2">
      <c r="A16" s="168">
        <v>15</v>
      </c>
      <c r="B16" s="4" t="s">
        <v>98</v>
      </c>
      <c r="C16" s="164">
        <f>4-1</f>
        <v>3</v>
      </c>
      <c r="D16" s="165">
        <v>20.86</v>
      </c>
      <c r="E16" s="165">
        <f t="shared" si="0"/>
        <v>62.58</v>
      </c>
      <c r="F16" s="195" t="s">
        <v>99</v>
      </c>
      <c r="I16" s="167" t="s">
        <v>100</v>
      </c>
      <c r="J16" s="4"/>
    </row>
    <row r="17" spans="1:10" ht="12.75" x14ac:dyDescent="0.2">
      <c r="A17" s="168">
        <v>16</v>
      </c>
      <c r="B17" s="4" t="s">
        <v>101</v>
      </c>
      <c r="C17" s="164">
        <f>6-1</f>
        <v>5</v>
      </c>
      <c r="D17" s="165">
        <v>11.39</v>
      </c>
      <c r="E17" s="165">
        <f t="shared" si="0"/>
        <v>56.95</v>
      </c>
      <c r="F17" s="195" t="s">
        <v>99</v>
      </c>
      <c r="I17" s="167" t="s">
        <v>102</v>
      </c>
      <c r="J17" s="4"/>
    </row>
    <row r="18" spans="1:10" ht="12.75" x14ac:dyDescent="0.2">
      <c r="A18" s="168">
        <v>17</v>
      </c>
      <c r="B18" s="4" t="s">
        <v>103</v>
      </c>
      <c r="C18" s="164">
        <f>8-1</f>
        <v>7</v>
      </c>
      <c r="D18" s="165">
        <v>10.57</v>
      </c>
      <c r="E18" s="165">
        <f t="shared" si="0"/>
        <v>73.990000000000009</v>
      </c>
      <c r="F18" s="195" t="s">
        <v>99</v>
      </c>
      <c r="I18" s="196" t="s">
        <v>104</v>
      </c>
      <c r="J18" s="4"/>
    </row>
    <row r="19" spans="1:10" ht="12.75" x14ac:dyDescent="0.2">
      <c r="A19" s="168">
        <v>18</v>
      </c>
      <c r="B19" s="4" t="s">
        <v>105</v>
      </c>
      <c r="C19" s="164">
        <v>2</v>
      </c>
      <c r="D19" s="165">
        <v>16.21</v>
      </c>
      <c r="E19" s="165">
        <f t="shared" si="0"/>
        <v>32.42</v>
      </c>
      <c r="F19" s="195" t="s">
        <v>99</v>
      </c>
      <c r="I19" s="196" t="s">
        <v>106</v>
      </c>
      <c r="J19" s="4"/>
    </row>
    <row r="20" spans="1:10" ht="12.75" x14ac:dyDescent="0.2">
      <c r="A20" s="168">
        <v>19</v>
      </c>
      <c r="B20" s="4" t="s">
        <v>107</v>
      </c>
      <c r="C20" s="164">
        <v>1</v>
      </c>
      <c r="D20" s="165">
        <v>15.74</v>
      </c>
      <c r="E20" s="165">
        <f t="shared" si="0"/>
        <v>15.74</v>
      </c>
      <c r="F20" s="195" t="s">
        <v>99</v>
      </c>
      <c r="I20" s="196" t="s">
        <v>108</v>
      </c>
      <c r="J20" s="4"/>
    </row>
    <row r="21" spans="1:10" ht="12.75" x14ac:dyDescent="0.2">
      <c r="A21" s="168">
        <v>20</v>
      </c>
      <c r="B21" s="4" t="s">
        <v>109</v>
      </c>
      <c r="C21" s="164">
        <v>1</v>
      </c>
      <c r="D21" s="165">
        <v>10.34</v>
      </c>
      <c r="E21" s="165">
        <f t="shared" si="0"/>
        <v>10.34</v>
      </c>
      <c r="F21" s="195" t="s">
        <v>99</v>
      </c>
      <c r="I21" s="167" t="s">
        <v>110</v>
      </c>
      <c r="J21" s="4"/>
    </row>
    <row r="22" spans="1:10" ht="12.75" x14ac:dyDescent="0.2">
      <c r="A22" s="169"/>
      <c r="C22" s="164"/>
      <c r="D22" s="165">
        <v>0</v>
      </c>
      <c r="E22" s="165">
        <f t="shared" si="0"/>
        <v>0</v>
      </c>
      <c r="F22" s="195"/>
      <c r="I22" s="170"/>
      <c r="J22" s="4"/>
    </row>
    <row r="23" spans="1:10" ht="12.75" x14ac:dyDescent="0.2">
      <c r="A23" s="171"/>
      <c r="B23" s="172"/>
      <c r="C23" s="173"/>
      <c r="D23" s="174">
        <v>0</v>
      </c>
      <c r="E23" s="174">
        <f t="shared" si="0"/>
        <v>0</v>
      </c>
      <c r="F23" s="197"/>
      <c r="G23" s="172"/>
      <c r="H23" s="172"/>
      <c r="I23" s="175"/>
      <c r="J23" s="4"/>
    </row>
    <row r="24" spans="1:10" ht="12.75" x14ac:dyDescent="0.2">
      <c r="C24" s="164"/>
      <c r="D24" s="165"/>
      <c r="E24" s="165"/>
      <c r="F24" s="195"/>
      <c r="I24" s="4"/>
      <c r="J24" s="4"/>
    </row>
    <row r="25" spans="1:10" ht="12.75" x14ac:dyDescent="0.2">
      <c r="C25" s="164"/>
      <c r="D25" s="165"/>
      <c r="E25" s="165"/>
      <c r="F25" s="195"/>
      <c r="I25" s="4"/>
      <c r="J25" s="4"/>
    </row>
    <row r="26" spans="1:10" ht="12.75" x14ac:dyDescent="0.2">
      <c r="C26" s="164"/>
      <c r="D26" s="165"/>
      <c r="E26" s="165"/>
      <c r="F26" s="195"/>
      <c r="I26" s="4"/>
      <c r="J26" s="4"/>
    </row>
    <row r="27" spans="1:10" ht="12.75" x14ac:dyDescent="0.2">
      <c r="C27" s="164"/>
      <c r="D27" s="165"/>
      <c r="E27" s="165"/>
      <c r="F27" s="195"/>
      <c r="I27" s="4"/>
      <c r="J27" s="4"/>
    </row>
    <row r="28" spans="1:10" ht="12.75" x14ac:dyDescent="0.2">
      <c r="C28" s="164"/>
      <c r="D28" s="165"/>
      <c r="E28" s="165"/>
      <c r="F28" s="195"/>
      <c r="I28" s="4"/>
      <c r="J28" s="4"/>
    </row>
    <row r="29" spans="1:10" ht="12.75" x14ac:dyDescent="0.2">
      <c r="C29" s="164"/>
      <c r="D29" s="165"/>
      <c r="E29" s="165"/>
      <c r="F29" s="195"/>
      <c r="I29" s="4"/>
      <c r="J29" s="4"/>
    </row>
    <row r="30" spans="1:10" ht="12.75" x14ac:dyDescent="0.2">
      <c r="C30" s="164"/>
      <c r="D30" s="165"/>
      <c r="E30" s="165"/>
      <c r="F30" s="195"/>
      <c r="I30" s="4"/>
      <c r="J30" s="4"/>
    </row>
    <row r="31" spans="1:10" ht="12.75" x14ac:dyDescent="0.2">
      <c r="C31" s="164"/>
      <c r="D31" s="165"/>
      <c r="E31" s="165"/>
      <c r="F31" s="195"/>
      <c r="I31" s="4"/>
      <c r="J31" s="4"/>
    </row>
    <row r="32" spans="1:10" ht="12.75" x14ac:dyDescent="0.2">
      <c r="C32" s="164"/>
      <c r="D32" s="165"/>
      <c r="E32" s="165"/>
      <c r="F32" s="195"/>
      <c r="I32" s="4"/>
      <c r="J32" s="4"/>
    </row>
    <row r="33" spans="3:10" ht="12.75" x14ac:dyDescent="0.2">
      <c r="C33" s="164"/>
      <c r="D33" s="165"/>
      <c r="E33" s="165"/>
      <c r="F33" s="195"/>
      <c r="I33" s="4"/>
      <c r="J33" s="4"/>
    </row>
    <row r="34" spans="3:10" ht="12.75" x14ac:dyDescent="0.2">
      <c r="C34" s="164"/>
      <c r="D34" s="165"/>
      <c r="E34" s="165"/>
      <c r="F34" s="195"/>
      <c r="I34" s="4"/>
      <c r="J34" s="4"/>
    </row>
    <row r="35" spans="3:10" ht="12.75" x14ac:dyDescent="0.2">
      <c r="C35" s="164"/>
      <c r="D35" s="165"/>
      <c r="E35" s="165"/>
      <c r="F35" s="195"/>
      <c r="I35" s="4"/>
      <c r="J35" s="4"/>
    </row>
    <row r="36" spans="3:10" ht="12.75" x14ac:dyDescent="0.2">
      <c r="C36" s="164"/>
      <c r="D36" s="165"/>
      <c r="E36" s="165"/>
      <c r="F36" s="195"/>
      <c r="I36" s="4"/>
      <c r="J36" s="4"/>
    </row>
    <row r="37" spans="3:10" ht="12.75" x14ac:dyDescent="0.2">
      <c r="C37" s="164"/>
      <c r="D37" s="165"/>
      <c r="E37" s="165"/>
      <c r="F37" s="195"/>
      <c r="I37" s="4"/>
      <c r="J37" s="4"/>
    </row>
    <row r="38" spans="3:10" ht="12.75" x14ac:dyDescent="0.2">
      <c r="C38" s="164"/>
      <c r="D38" s="165"/>
      <c r="E38" s="165"/>
      <c r="F38" s="195"/>
      <c r="I38" s="4"/>
      <c r="J38" s="4"/>
    </row>
    <row r="39" spans="3:10" ht="12.75" x14ac:dyDescent="0.2">
      <c r="C39" s="164"/>
      <c r="D39" s="165"/>
      <c r="E39" s="165"/>
      <c r="F39" s="195"/>
      <c r="I39" s="4"/>
      <c r="J39" s="4"/>
    </row>
    <row r="40" spans="3:10" ht="12.75" x14ac:dyDescent="0.2">
      <c r="C40" s="164"/>
      <c r="D40" s="165"/>
      <c r="E40" s="165"/>
      <c r="F40" s="195"/>
      <c r="I40" s="4"/>
      <c r="J40" s="4"/>
    </row>
    <row r="41" spans="3:10" ht="12.75" x14ac:dyDescent="0.2">
      <c r="C41" s="164"/>
      <c r="D41" s="165"/>
      <c r="E41" s="165"/>
      <c r="F41" s="195"/>
      <c r="I41" s="4"/>
      <c r="J41" s="4"/>
    </row>
    <row r="42" spans="3:10" ht="12.75" x14ac:dyDescent="0.2">
      <c r="C42" s="164"/>
      <c r="D42" s="165"/>
      <c r="E42" s="165"/>
      <c r="F42" s="195"/>
      <c r="I42" s="4"/>
      <c r="J42" s="4"/>
    </row>
    <row r="43" spans="3:10" ht="12.75" x14ac:dyDescent="0.2">
      <c r="C43" s="164"/>
      <c r="D43" s="165"/>
      <c r="E43" s="165"/>
      <c r="F43" s="195"/>
      <c r="I43" s="4"/>
      <c r="J43" s="4"/>
    </row>
    <row r="44" spans="3:10" ht="12.75" x14ac:dyDescent="0.2">
      <c r="C44" s="164"/>
      <c r="D44" s="165"/>
      <c r="E44" s="165"/>
      <c r="F44" s="195"/>
      <c r="I44" s="4"/>
      <c r="J44" s="4"/>
    </row>
    <row r="45" spans="3:10" ht="12.75" x14ac:dyDescent="0.2">
      <c r="C45" s="164"/>
      <c r="D45" s="165"/>
      <c r="E45" s="165"/>
      <c r="F45" s="195"/>
      <c r="I45" s="4"/>
      <c r="J45" s="4"/>
    </row>
    <row r="46" spans="3:10" ht="12.75" x14ac:dyDescent="0.2">
      <c r="C46" s="164"/>
      <c r="D46" s="165"/>
      <c r="E46" s="165"/>
      <c r="F46" s="195"/>
      <c r="I46" s="4"/>
      <c r="J46" s="4"/>
    </row>
    <row r="47" spans="3:10" ht="12.75" x14ac:dyDescent="0.2">
      <c r="C47" s="164"/>
      <c r="D47" s="165"/>
      <c r="E47" s="165"/>
      <c r="F47" s="195"/>
      <c r="I47" s="4"/>
      <c r="J47" s="4"/>
    </row>
    <row r="48" spans="3:10" ht="12.75" x14ac:dyDescent="0.2">
      <c r="C48" s="164"/>
      <c r="D48" s="165"/>
      <c r="E48" s="165"/>
      <c r="F48" s="195"/>
      <c r="I48" s="4"/>
      <c r="J48" s="4"/>
    </row>
    <row r="49" spans="3:10" ht="12.75" x14ac:dyDescent="0.2">
      <c r="C49" s="164"/>
      <c r="D49" s="165"/>
      <c r="E49" s="165"/>
      <c r="F49" s="195"/>
      <c r="I49" s="4"/>
      <c r="J49" s="4"/>
    </row>
    <row r="50" spans="3:10" ht="12.75" x14ac:dyDescent="0.2">
      <c r="C50" s="164"/>
      <c r="D50" s="165"/>
      <c r="E50" s="165"/>
      <c r="F50" s="195"/>
      <c r="I50" s="4"/>
      <c r="J50" s="4"/>
    </row>
    <row r="51" spans="3:10" ht="12.75" x14ac:dyDescent="0.2">
      <c r="C51" s="164"/>
      <c r="D51" s="165"/>
      <c r="E51" s="165"/>
      <c r="F51" s="195"/>
      <c r="I51" s="4"/>
      <c r="J51" s="4"/>
    </row>
    <row r="52" spans="3:10" ht="12.75" x14ac:dyDescent="0.2">
      <c r="C52" s="164"/>
      <c r="D52" s="165"/>
      <c r="E52" s="165"/>
      <c r="F52" s="195"/>
      <c r="I52" s="4"/>
      <c r="J52" s="4"/>
    </row>
    <row r="53" spans="3:10" ht="12.75" x14ac:dyDescent="0.2">
      <c r="C53" s="164"/>
      <c r="D53" s="165"/>
      <c r="E53" s="165"/>
      <c r="F53" s="195"/>
      <c r="I53" s="4"/>
      <c r="J53" s="4"/>
    </row>
    <row r="54" spans="3:10" ht="12.75" x14ac:dyDescent="0.2">
      <c r="C54" s="164"/>
      <c r="D54" s="165"/>
      <c r="E54" s="165"/>
      <c r="F54" s="195"/>
      <c r="I54" s="4"/>
      <c r="J54" s="4"/>
    </row>
    <row r="55" spans="3:10" ht="12.75" x14ac:dyDescent="0.2">
      <c r="C55" s="164"/>
      <c r="D55" s="165"/>
      <c r="E55" s="165"/>
      <c r="F55" s="195"/>
      <c r="I55" s="4"/>
      <c r="J55" s="4"/>
    </row>
    <row r="56" spans="3:10" ht="12.75" x14ac:dyDescent="0.2">
      <c r="C56" s="164"/>
      <c r="D56" s="165"/>
      <c r="E56" s="165"/>
      <c r="F56" s="195"/>
      <c r="I56" s="4"/>
      <c r="J56" s="4"/>
    </row>
    <row r="57" spans="3:10" ht="12.75" x14ac:dyDescent="0.2">
      <c r="C57" s="164"/>
      <c r="D57" s="165"/>
      <c r="E57" s="165"/>
      <c r="F57" s="195"/>
      <c r="I57" s="4"/>
      <c r="J57" s="4"/>
    </row>
    <row r="58" spans="3:10" ht="12.75" x14ac:dyDescent="0.2">
      <c r="C58" s="164"/>
      <c r="D58" s="165"/>
      <c r="E58" s="165"/>
      <c r="F58" s="195"/>
      <c r="I58" s="4"/>
      <c r="J58" s="4"/>
    </row>
    <row r="59" spans="3:10" ht="12.75" x14ac:dyDescent="0.2">
      <c r="C59" s="164"/>
      <c r="D59" s="165"/>
      <c r="E59" s="165"/>
      <c r="F59" s="195"/>
      <c r="I59" s="4"/>
      <c r="J59" s="4"/>
    </row>
    <row r="60" spans="3:10" ht="12.75" x14ac:dyDescent="0.2">
      <c r="C60" s="164"/>
      <c r="D60" s="165"/>
      <c r="E60" s="165"/>
      <c r="F60" s="195"/>
      <c r="I60" s="4"/>
      <c r="J60" s="4"/>
    </row>
    <row r="61" spans="3:10" ht="12.75" x14ac:dyDescent="0.2">
      <c r="C61" s="164"/>
      <c r="D61" s="165"/>
      <c r="E61" s="165"/>
      <c r="F61" s="195"/>
      <c r="I61" s="4"/>
      <c r="J61" s="4"/>
    </row>
    <row r="62" spans="3:10" ht="12.75" x14ac:dyDescent="0.2">
      <c r="C62" s="164"/>
      <c r="D62" s="165"/>
      <c r="E62" s="165"/>
      <c r="F62" s="195"/>
      <c r="I62" s="4"/>
      <c r="J62" s="4"/>
    </row>
    <row r="63" spans="3:10" ht="12.75" x14ac:dyDescent="0.2">
      <c r="C63" s="164"/>
      <c r="D63" s="165"/>
      <c r="E63" s="165"/>
      <c r="F63" s="195"/>
      <c r="I63" s="4"/>
      <c r="J63" s="4"/>
    </row>
    <row r="64" spans="3:10" ht="12.75" x14ac:dyDescent="0.2">
      <c r="C64" s="164"/>
      <c r="D64" s="165"/>
      <c r="E64" s="165"/>
      <c r="F64" s="195"/>
      <c r="I64" s="4"/>
      <c r="J64" s="4"/>
    </row>
    <row r="65" spans="3:10" ht="12.75" x14ac:dyDescent="0.2">
      <c r="C65" s="164"/>
      <c r="D65" s="165"/>
      <c r="E65" s="165"/>
      <c r="F65" s="195"/>
      <c r="I65" s="4"/>
      <c r="J65" s="4"/>
    </row>
    <row r="66" spans="3:10" ht="12.75" x14ac:dyDescent="0.2">
      <c r="C66" s="164"/>
      <c r="D66" s="165"/>
      <c r="E66" s="165"/>
      <c r="F66" s="195"/>
      <c r="I66" s="4"/>
      <c r="J66" s="4"/>
    </row>
    <row r="67" spans="3:10" ht="12.75" x14ac:dyDescent="0.2">
      <c r="C67" s="164"/>
      <c r="D67" s="165"/>
      <c r="E67" s="165"/>
      <c r="F67" s="195"/>
      <c r="I67" s="4"/>
      <c r="J67" s="4"/>
    </row>
    <row r="68" spans="3:10" ht="12.75" x14ac:dyDescent="0.2">
      <c r="C68" s="164"/>
      <c r="D68" s="165"/>
      <c r="E68" s="165"/>
      <c r="F68" s="195"/>
      <c r="I68" s="4"/>
      <c r="J68" s="4"/>
    </row>
    <row r="69" spans="3:10" ht="12.75" x14ac:dyDescent="0.2">
      <c r="C69" s="164"/>
      <c r="D69" s="165"/>
      <c r="E69" s="165"/>
      <c r="F69" s="195"/>
      <c r="I69" s="4"/>
      <c r="J69" s="4"/>
    </row>
    <row r="70" spans="3:10" ht="12.75" x14ac:dyDescent="0.2">
      <c r="C70" s="164"/>
      <c r="D70" s="165"/>
      <c r="E70" s="165"/>
      <c r="F70" s="195"/>
      <c r="I70" s="4"/>
      <c r="J70" s="4"/>
    </row>
    <row r="71" spans="3:10" ht="12.75" x14ac:dyDescent="0.2">
      <c r="C71" s="164"/>
      <c r="D71" s="165"/>
      <c r="E71" s="165"/>
      <c r="F71" s="195"/>
      <c r="I71" s="4"/>
      <c r="J71" s="4"/>
    </row>
    <row r="72" spans="3:10" ht="12.75" x14ac:dyDescent="0.2">
      <c r="C72" s="164"/>
      <c r="D72" s="165"/>
      <c r="E72" s="165"/>
      <c r="F72" s="195"/>
      <c r="I72" s="4"/>
      <c r="J72" s="4"/>
    </row>
    <row r="73" spans="3:10" ht="12.75" x14ac:dyDescent="0.2">
      <c r="C73" s="164"/>
      <c r="D73" s="165"/>
      <c r="E73" s="165"/>
      <c r="F73" s="195"/>
      <c r="I73" s="4"/>
      <c r="J73" s="4"/>
    </row>
    <row r="74" spans="3:10" ht="12.75" x14ac:dyDescent="0.2">
      <c r="C74" s="164"/>
      <c r="D74" s="165"/>
      <c r="E74" s="165"/>
      <c r="F74" s="195"/>
      <c r="I74" s="4"/>
      <c r="J74" s="4"/>
    </row>
    <row r="75" spans="3:10" ht="12.75" x14ac:dyDescent="0.2">
      <c r="C75" s="164"/>
      <c r="D75" s="165"/>
      <c r="E75" s="165"/>
      <c r="F75" s="195"/>
      <c r="I75" s="4"/>
      <c r="J75" s="4"/>
    </row>
    <row r="76" spans="3:10" ht="12.75" x14ac:dyDescent="0.2">
      <c r="C76" s="164"/>
      <c r="D76" s="165"/>
      <c r="E76" s="165"/>
      <c r="F76" s="195"/>
      <c r="I76" s="4"/>
      <c r="J76" s="4"/>
    </row>
    <row r="77" spans="3:10" ht="12.75" x14ac:dyDescent="0.2">
      <c r="C77" s="164"/>
      <c r="D77" s="165"/>
      <c r="E77" s="165"/>
      <c r="F77" s="195"/>
      <c r="I77" s="4"/>
      <c r="J77" s="4"/>
    </row>
    <row r="78" spans="3:10" ht="12.75" x14ac:dyDescent="0.2">
      <c r="C78" s="164"/>
      <c r="D78" s="165"/>
      <c r="E78" s="165"/>
      <c r="F78" s="195"/>
      <c r="I78" s="4"/>
      <c r="J78" s="4"/>
    </row>
    <row r="79" spans="3:10" ht="12.75" x14ac:dyDescent="0.2">
      <c r="C79" s="164"/>
      <c r="D79" s="165"/>
      <c r="E79" s="165"/>
      <c r="F79" s="195"/>
      <c r="I79" s="4"/>
      <c r="J79" s="4"/>
    </row>
    <row r="80" spans="3:10" ht="12.75" x14ac:dyDescent="0.2">
      <c r="C80" s="164"/>
      <c r="D80" s="165"/>
      <c r="E80" s="165"/>
      <c r="F80" s="195"/>
      <c r="I80" s="4"/>
      <c r="J80" s="4"/>
    </row>
    <row r="81" spans="3:10" ht="12.75" x14ac:dyDescent="0.2">
      <c r="C81" s="164"/>
      <c r="D81" s="165"/>
      <c r="E81" s="165"/>
      <c r="F81" s="195"/>
      <c r="I81" s="4"/>
      <c r="J81" s="4"/>
    </row>
    <row r="82" spans="3:10" ht="12.75" x14ac:dyDescent="0.2">
      <c r="C82" s="164"/>
      <c r="D82" s="165"/>
      <c r="E82" s="165"/>
      <c r="F82" s="195"/>
      <c r="I82" s="4"/>
      <c r="J82" s="4"/>
    </row>
    <row r="83" spans="3:10" ht="12.75" x14ac:dyDescent="0.2">
      <c r="C83" s="164"/>
      <c r="D83" s="165"/>
      <c r="E83" s="165"/>
      <c r="F83" s="195"/>
      <c r="I83" s="4"/>
      <c r="J83" s="4"/>
    </row>
    <row r="84" spans="3:10" ht="12.75" x14ac:dyDescent="0.2">
      <c r="C84" s="164"/>
      <c r="D84" s="165"/>
      <c r="E84" s="165"/>
      <c r="F84" s="195"/>
      <c r="I84" s="4"/>
      <c r="J84" s="4"/>
    </row>
    <row r="85" spans="3:10" ht="12.75" x14ac:dyDescent="0.2">
      <c r="C85" s="164"/>
      <c r="D85" s="165"/>
      <c r="E85" s="165"/>
      <c r="F85" s="195"/>
      <c r="I85" s="4"/>
      <c r="J85" s="4"/>
    </row>
    <row r="86" spans="3:10" ht="12.75" x14ac:dyDescent="0.2">
      <c r="C86" s="164"/>
      <c r="D86" s="165"/>
      <c r="E86" s="165"/>
      <c r="F86" s="195"/>
      <c r="I86" s="4"/>
      <c r="J86" s="4"/>
    </row>
    <row r="87" spans="3:10" ht="12.75" x14ac:dyDescent="0.2">
      <c r="C87" s="164"/>
      <c r="D87" s="165"/>
      <c r="E87" s="165"/>
      <c r="F87" s="195"/>
      <c r="I87" s="4"/>
      <c r="J87" s="4"/>
    </row>
    <row r="88" spans="3:10" ht="12.75" x14ac:dyDescent="0.2">
      <c r="C88" s="164"/>
      <c r="D88" s="165"/>
      <c r="E88" s="165"/>
      <c r="F88" s="195"/>
      <c r="I88" s="4"/>
      <c r="J88" s="4"/>
    </row>
    <row r="89" spans="3:10" ht="12.75" x14ac:dyDescent="0.2">
      <c r="C89" s="164"/>
      <c r="D89" s="165"/>
      <c r="E89" s="165"/>
      <c r="F89" s="195"/>
      <c r="I89" s="4"/>
      <c r="J89" s="4"/>
    </row>
    <row r="90" spans="3:10" ht="12.75" x14ac:dyDescent="0.2">
      <c r="C90" s="164"/>
      <c r="D90" s="165"/>
      <c r="E90" s="165"/>
      <c r="F90" s="195"/>
      <c r="I90" s="4"/>
      <c r="J90" s="4"/>
    </row>
    <row r="91" spans="3:10" ht="12.75" x14ac:dyDescent="0.2">
      <c r="C91" s="164"/>
      <c r="D91" s="165"/>
      <c r="E91" s="165"/>
      <c r="F91" s="195"/>
      <c r="I91" s="4"/>
      <c r="J91" s="4"/>
    </row>
    <row r="92" spans="3:10" ht="12.75" x14ac:dyDescent="0.2">
      <c r="C92" s="164"/>
      <c r="D92" s="165"/>
      <c r="E92" s="165"/>
      <c r="F92" s="195"/>
      <c r="I92" s="4"/>
      <c r="J92" s="4"/>
    </row>
    <row r="93" spans="3:10" ht="12.75" x14ac:dyDescent="0.2">
      <c r="C93" s="164"/>
      <c r="D93" s="165"/>
      <c r="E93" s="165"/>
      <c r="F93" s="195"/>
      <c r="I93" s="4"/>
      <c r="J93" s="4"/>
    </row>
    <row r="94" spans="3:10" ht="12.75" x14ac:dyDescent="0.2">
      <c r="C94" s="164"/>
      <c r="D94" s="165"/>
      <c r="E94" s="165"/>
      <c r="F94" s="195"/>
      <c r="I94" s="4"/>
      <c r="J94" s="4"/>
    </row>
    <row r="95" spans="3:10" ht="12.75" x14ac:dyDescent="0.2">
      <c r="C95" s="164"/>
      <c r="D95" s="165"/>
      <c r="E95" s="165"/>
      <c r="F95" s="195"/>
      <c r="I95" s="4"/>
      <c r="J95" s="4"/>
    </row>
    <row r="96" spans="3:10" ht="12.75" x14ac:dyDescent="0.2">
      <c r="C96" s="164"/>
      <c r="D96" s="165"/>
      <c r="E96" s="165"/>
      <c r="F96" s="195"/>
      <c r="I96" s="4"/>
      <c r="J96" s="4"/>
    </row>
    <row r="97" spans="3:10" ht="12.75" x14ac:dyDescent="0.2">
      <c r="C97" s="164"/>
      <c r="D97" s="165"/>
      <c r="E97" s="165"/>
      <c r="F97" s="195"/>
      <c r="I97" s="4"/>
      <c r="J97" s="4"/>
    </row>
    <row r="98" spans="3:10" ht="12.75" x14ac:dyDescent="0.2">
      <c r="C98" s="164"/>
      <c r="D98" s="165"/>
      <c r="E98" s="165"/>
      <c r="F98" s="195"/>
      <c r="I98" s="4"/>
      <c r="J98" s="4"/>
    </row>
    <row r="99" spans="3:10" ht="12.75" x14ac:dyDescent="0.2">
      <c r="C99" s="164"/>
      <c r="D99" s="165"/>
      <c r="E99" s="165"/>
      <c r="F99" s="195"/>
      <c r="I99" s="4"/>
      <c r="J99" s="4"/>
    </row>
    <row r="100" spans="3:10" ht="12.75" x14ac:dyDescent="0.2">
      <c r="C100" s="164"/>
      <c r="D100" s="165"/>
      <c r="E100" s="165"/>
      <c r="F100" s="195"/>
      <c r="I100" s="4"/>
      <c r="J100" s="4"/>
    </row>
    <row r="101" spans="3:10" ht="12.75" x14ac:dyDescent="0.2">
      <c r="C101" s="164"/>
      <c r="D101" s="165"/>
      <c r="E101" s="165"/>
      <c r="F101" s="195"/>
      <c r="I101" s="4"/>
      <c r="J101" s="4"/>
    </row>
    <row r="102" spans="3:10" ht="12.75" x14ac:dyDescent="0.2">
      <c r="C102" s="164"/>
      <c r="D102" s="165"/>
      <c r="E102" s="165"/>
      <c r="F102" s="195"/>
      <c r="I102" s="4"/>
      <c r="J102" s="4"/>
    </row>
    <row r="103" spans="3:10" ht="12.75" x14ac:dyDescent="0.2">
      <c r="C103" s="164"/>
      <c r="D103" s="165"/>
      <c r="E103" s="165"/>
      <c r="F103" s="195"/>
      <c r="I103" s="4"/>
      <c r="J103" s="4"/>
    </row>
    <row r="104" spans="3:10" ht="12.75" x14ac:dyDescent="0.2">
      <c r="C104" s="164"/>
      <c r="D104" s="165"/>
      <c r="E104" s="165"/>
      <c r="F104" s="195"/>
      <c r="I104" s="4"/>
      <c r="J104" s="4"/>
    </row>
    <row r="105" spans="3:10" ht="12.75" x14ac:dyDescent="0.2">
      <c r="C105" s="164"/>
      <c r="D105" s="165"/>
      <c r="E105" s="165"/>
      <c r="F105" s="195"/>
      <c r="I105" s="4"/>
      <c r="J105" s="4"/>
    </row>
    <row r="106" spans="3:10" ht="12.75" x14ac:dyDescent="0.2">
      <c r="C106" s="164"/>
      <c r="D106" s="165"/>
      <c r="E106" s="165"/>
      <c r="F106" s="195"/>
      <c r="I106" s="4"/>
      <c r="J106" s="4"/>
    </row>
    <row r="107" spans="3:10" ht="12.75" x14ac:dyDescent="0.2">
      <c r="C107" s="164"/>
      <c r="D107" s="165"/>
      <c r="E107" s="165"/>
      <c r="F107" s="195"/>
      <c r="I107" s="4"/>
      <c r="J107" s="4"/>
    </row>
    <row r="108" spans="3:10" ht="12.75" x14ac:dyDescent="0.2">
      <c r="C108" s="164"/>
      <c r="D108" s="165"/>
      <c r="E108" s="165"/>
      <c r="F108" s="195"/>
      <c r="I108" s="4"/>
      <c r="J108" s="4"/>
    </row>
    <row r="109" spans="3:10" ht="12.75" x14ac:dyDescent="0.2">
      <c r="C109" s="164"/>
      <c r="D109" s="165"/>
      <c r="E109" s="165"/>
      <c r="F109" s="195"/>
      <c r="I109" s="4"/>
      <c r="J109" s="4"/>
    </row>
    <row r="110" spans="3:10" ht="12.75" x14ac:dyDescent="0.2">
      <c r="C110" s="164"/>
      <c r="D110" s="165"/>
      <c r="E110" s="165"/>
      <c r="F110" s="195"/>
      <c r="I110" s="4"/>
      <c r="J110" s="4"/>
    </row>
    <row r="111" spans="3:10" ht="12.75" x14ac:dyDescent="0.2">
      <c r="C111" s="164"/>
      <c r="D111" s="165"/>
      <c r="E111" s="165"/>
      <c r="F111" s="195"/>
      <c r="I111" s="4"/>
      <c r="J111" s="4"/>
    </row>
    <row r="112" spans="3:10" ht="12.75" x14ac:dyDescent="0.2">
      <c r="C112" s="164"/>
      <c r="D112" s="165"/>
      <c r="E112" s="165"/>
      <c r="F112" s="195"/>
      <c r="I112" s="4"/>
      <c r="J112" s="4"/>
    </row>
    <row r="113" spans="3:10" ht="12.75" x14ac:dyDescent="0.2">
      <c r="C113" s="164"/>
      <c r="D113" s="165"/>
      <c r="E113" s="165"/>
      <c r="F113" s="195"/>
      <c r="I113" s="4"/>
      <c r="J113" s="4"/>
    </row>
    <row r="114" spans="3:10" ht="12.75" x14ac:dyDescent="0.2">
      <c r="C114" s="164"/>
      <c r="D114" s="165"/>
      <c r="E114" s="165"/>
      <c r="F114" s="195"/>
      <c r="I114" s="4"/>
      <c r="J114" s="4"/>
    </row>
    <row r="115" spans="3:10" ht="12.75" x14ac:dyDescent="0.2">
      <c r="C115" s="164"/>
      <c r="D115" s="165"/>
      <c r="E115" s="165"/>
      <c r="F115" s="195"/>
      <c r="I115" s="4"/>
      <c r="J115" s="4"/>
    </row>
    <row r="116" spans="3:10" ht="12.75" x14ac:dyDescent="0.2">
      <c r="C116" s="164"/>
      <c r="D116" s="165"/>
      <c r="E116" s="165"/>
      <c r="F116" s="195"/>
      <c r="I116" s="4"/>
      <c r="J116" s="4"/>
    </row>
    <row r="117" spans="3:10" ht="12.75" x14ac:dyDescent="0.2">
      <c r="C117" s="164"/>
      <c r="D117" s="165"/>
      <c r="E117" s="165"/>
      <c r="F117" s="195"/>
      <c r="I117" s="4"/>
      <c r="J117" s="4"/>
    </row>
    <row r="118" spans="3:10" ht="12.75" x14ac:dyDescent="0.2">
      <c r="C118" s="164"/>
      <c r="D118" s="165"/>
      <c r="E118" s="165"/>
      <c r="F118" s="195"/>
      <c r="I118" s="4"/>
      <c r="J118" s="4"/>
    </row>
    <row r="119" spans="3:10" ht="12.75" x14ac:dyDescent="0.2">
      <c r="C119" s="164"/>
      <c r="D119" s="165"/>
      <c r="E119" s="165"/>
      <c r="F119" s="195"/>
      <c r="I119" s="4"/>
      <c r="J119" s="4"/>
    </row>
    <row r="120" spans="3:10" ht="12.75" x14ac:dyDescent="0.2">
      <c r="C120" s="164"/>
      <c r="D120" s="165"/>
      <c r="E120" s="165"/>
      <c r="F120" s="195"/>
      <c r="I120" s="4"/>
      <c r="J120" s="4"/>
    </row>
    <row r="121" spans="3:10" ht="12.75" x14ac:dyDescent="0.2">
      <c r="C121" s="164"/>
      <c r="D121" s="165"/>
      <c r="E121" s="165"/>
      <c r="F121" s="195"/>
      <c r="I121" s="4"/>
      <c r="J121" s="4"/>
    </row>
    <row r="122" spans="3:10" ht="12.75" x14ac:dyDescent="0.2">
      <c r="C122" s="164"/>
      <c r="D122" s="165"/>
      <c r="E122" s="165"/>
      <c r="F122" s="195"/>
      <c r="I122" s="4"/>
      <c r="J122" s="4"/>
    </row>
    <row r="123" spans="3:10" ht="12.75" x14ac:dyDescent="0.2">
      <c r="C123" s="164"/>
      <c r="D123" s="165"/>
      <c r="E123" s="165"/>
      <c r="F123" s="195"/>
      <c r="I123" s="4"/>
      <c r="J123" s="4"/>
    </row>
    <row r="124" spans="3:10" ht="12.75" x14ac:dyDescent="0.2">
      <c r="C124" s="164"/>
      <c r="D124" s="165"/>
      <c r="E124" s="165"/>
      <c r="F124" s="195"/>
      <c r="I124" s="4"/>
      <c r="J124" s="4"/>
    </row>
    <row r="125" spans="3:10" ht="12.75" x14ac:dyDescent="0.2">
      <c r="C125" s="164"/>
      <c r="D125" s="165"/>
      <c r="E125" s="165"/>
      <c r="F125" s="195"/>
      <c r="I125" s="4"/>
      <c r="J125" s="4"/>
    </row>
    <row r="126" spans="3:10" ht="12.75" x14ac:dyDescent="0.2">
      <c r="C126" s="164"/>
      <c r="D126" s="165"/>
      <c r="E126" s="165"/>
      <c r="F126" s="195"/>
      <c r="I126" s="4"/>
      <c r="J126" s="4"/>
    </row>
    <row r="127" spans="3:10" ht="12.75" x14ac:dyDescent="0.2">
      <c r="C127" s="164"/>
      <c r="D127" s="165"/>
      <c r="E127" s="165"/>
      <c r="F127" s="195"/>
      <c r="I127" s="4"/>
      <c r="J127" s="4"/>
    </row>
    <row r="128" spans="3:10" ht="12.75" x14ac:dyDescent="0.2">
      <c r="C128" s="164"/>
      <c r="D128" s="165"/>
      <c r="E128" s="165"/>
      <c r="F128" s="195"/>
      <c r="I128" s="4"/>
      <c r="J128" s="4"/>
    </row>
    <row r="129" spans="3:10" ht="12.75" x14ac:dyDescent="0.2">
      <c r="C129" s="164"/>
      <c r="D129" s="165"/>
      <c r="E129" s="165"/>
      <c r="F129" s="195"/>
      <c r="I129" s="4"/>
      <c r="J129" s="4"/>
    </row>
    <row r="130" spans="3:10" ht="12.75" x14ac:dyDescent="0.2">
      <c r="C130" s="164"/>
      <c r="D130" s="165"/>
      <c r="E130" s="165"/>
      <c r="F130" s="195"/>
      <c r="I130" s="4"/>
      <c r="J130" s="4"/>
    </row>
    <row r="131" spans="3:10" ht="12.75" x14ac:dyDescent="0.2">
      <c r="C131" s="164"/>
      <c r="D131" s="165"/>
      <c r="E131" s="165"/>
      <c r="F131" s="195"/>
      <c r="I131" s="4"/>
      <c r="J131" s="4"/>
    </row>
    <row r="132" spans="3:10" ht="12.75" x14ac:dyDescent="0.2">
      <c r="C132" s="164"/>
      <c r="D132" s="165"/>
      <c r="E132" s="165"/>
      <c r="F132" s="195"/>
      <c r="I132" s="4"/>
      <c r="J132" s="4"/>
    </row>
    <row r="133" spans="3:10" ht="12.75" x14ac:dyDescent="0.2">
      <c r="C133" s="164"/>
      <c r="D133" s="165"/>
      <c r="E133" s="165"/>
      <c r="F133" s="195"/>
      <c r="I133" s="4"/>
      <c r="J133" s="4"/>
    </row>
    <row r="134" spans="3:10" ht="12.75" x14ac:dyDescent="0.2">
      <c r="C134" s="164"/>
      <c r="D134" s="165"/>
      <c r="E134" s="165"/>
      <c r="F134" s="195"/>
      <c r="I134" s="4"/>
      <c r="J134" s="4"/>
    </row>
    <row r="135" spans="3:10" ht="12.75" x14ac:dyDescent="0.2">
      <c r="C135" s="164"/>
      <c r="D135" s="165"/>
      <c r="E135" s="165"/>
      <c r="F135" s="195"/>
      <c r="I135" s="4"/>
      <c r="J135" s="4"/>
    </row>
    <row r="136" spans="3:10" ht="12.75" x14ac:dyDescent="0.2">
      <c r="C136" s="164"/>
      <c r="D136" s="165"/>
      <c r="E136" s="165"/>
      <c r="F136" s="195"/>
      <c r="I136" s="4"/>
      <c r="J136" s="4"/>
    </row>
    <row r="137" spans="3:10" ht="12.75" x14ac:dyDescent="0.2">
      <c r="C137" s="164"/>
      <c r="D137" s="165"/>
      <c r="E137" s="165"/>
      <c r="F137" s="195"/>
      <c r="I137" s="4"/>
      <c r="J137" s="4"/>
    </row>
    <row r="138" spans="3:10" ht="12.75" x14ac:dyDescent="0.2">
      <c r="C138" s="164"/>
      <c r="D138" s="165"/>
      <c r="E138" s="165"/>
      <c r="F138" s="195"/>
      <c r="I138" s="4"/>
      <c r="J138" s="4"/>
    </row>
    <row r="139" spans="3:10" ht="12.75" x14ac:dyDescent="0.2">
      <c r="C139" s="164"/>
      <c r="D139" s="165"/>
      <c r="E139" s="165"/>
      <c r="F139" s="195"/>
      <c r="I139" s="4"/>
      <c r="J139" s="4"/>
    </row>
    <row r="140" spans="3:10" ht="12.75" x14ac:dyDescent="0.2">
      <c r="C140" s="164"/>
      <c r="D140" s="165"/>
      <c r="E140" s="165"/>
      <c r="F140" s="195"/>
      <c r="I140" s="4"/>
      <c r="J140" s="4"/>
    </row>
    <row r="141" spans="3:10" ht="12.75" x14ac:dyDescent="0.2">
      <c r="C141" s="164"/>
      <c r="D141" s="165"/>
      <c r="E141" s="165"/>
      <c r="F141" s="195"/>
      <c r="I141" s="4"/>
      <c r="J141" s="4"/>
    </row>
    <row r="142" spans="3:10" ht="12.75" x14ac:dyDescent="0.2">
      <c r="C142" s="164"/>
      <c r="D142" s="165"/>
      <c r="E142" s="165"/>
      <c r="F142" s="195"/>
      <c r="I142" s="4"/>
      <c r="J142" s="4"/>
    </row>
    <row r="143" spans="3:10" ht="12.75" x14ac:dyDescent="0.2">
      <c r="C143" s="164"/>
      <c r="D143" s="165"/>
      <c r="E143" s="165"/>
      <c r="F143" s="195"/>
      <c r="I143" s="4"/>
      <c r="J143" s="4"/>
    </row>
    <row r="144" spans="3:10" ht="12.75" x14ac:dyDescent="0.2">
      <c r="C144" s="164"/>
      <c r="D144" s="165"/>
      <c r="E144" s="165"/>
      <c r="F144" s="195"/>
      <c r="I144" s="4"/>
      <c r="J144" s="4"/>
    </row>
    <row r="145" spans="3:10" ht="12.75" x14ac:dyDescent="0.2">
      <c r="C145" s="164"/>
      <c r="D145" s="165"/>
      <c r="E145" s="165"/>
      <c r="F145" s="195"/>
      <c r="I145" s="4"/>
      <c r="J145" s="4"/>
    </row>
    <row r="146" spans="3:10" ht="12.75" x14ac:dyDescent="0.2">
      <c r="C146" s="164"/>
      <c r="D146" s="165"/>
      <c r="E146" s="165"/>
      <c r="F146" s="195"/>
      <c r="I146" s="4"/>
      <c r="J146" s="4"/>
    </row>
    <row r="147" spans="3:10" ht="12.75" x14ac:dyDescent="0.2">
      <c r="C147" s="164"/>
      <c r="D147" s="165"/>
      <c r="E147" s="165"/>
      <c r="F147" s="195"/>
      <c r="I147" s="4"/>
      <c r="J147" s="4"/>
    </row>
    <row r="148" spans="3:10" ht="12.75" x14ac:dyDescent="0.2">
      <c r="C148" s="164"/>
      <c r="D148" s="165"/>
      <c r="E148" s="165"/>
      <c r="F148" s="195"/>
      <c r="I148" s="4"/>
      <c r="J148" s="4"/>
    </row>
    <row r="149" spans="3:10" ht="12.75" x14ac:dyDescent="0.2">
      <c r="C149" s="164"/>
      <c r="D149" s="165"/>
      <c r="E149" s="165"/>
      <c r="F149" s="195"/>
      <c r="I149" s="4"/>
      <c r="J149" s="4"/>
    </row>
    <row r="150" spans="3:10" ht="12.75" x14ac:dyDescent="0.2">
      <c r="C150" s="164"/>
      <c r="D150" s="165"/>
      <c r="E150" s="165"/>
      <c r="F150" s="195"/>
      <c r="I150" s="4"/>
      <c r="J150" s="4"/>
    </row>
    <row r="151" spans="3:10" ht="12.75" x14ac:dyDescent="0.2">
      <c r="C151" s="164"/>
      <c r="D151" s="165"/>
      <c r="E151" s="165"/>
      <c r="F151" s="195"/>
      <c r="I151" s="4"/>
      <c r="J151" s="4"/>
    </row>
    <row r="152" spans="3:10" ht="12.75" x14ac:dyDescent="0.2">
      <c r="C152" s="164"/>
      <c r="D152" s="165"/>
      <c r="E152" s="165"/>
      <c r="F152" s="195"/>
      <c r="I152" s="4"/>
      <c r="J152" s="4"/>
    </row>
    <row r="153" spans="3:10" ht="12.75" x14ac:dyDescent="0.2">
      <c r="C153" s="164"/>
      <c r="D153" s="165"/>
      <c r="E153" s="165"/>
      <c r="F153" s="195"/>
      <c r="I153" s="4"/>
      <c r="J153" s="4"/>
    </row>
    <row r="154" spans="3:10" ht="12.75" x14ac:dyDescent="0.2">
      <c r="C154" s="164"/>
      <c r="D154" s="165"/>
      <c r="E154" s="165"/>
      <c r="F154" s="195"/>
      <c r="I154" s="4"/>
      <c r="J154" s="4"/>
    </row>
    <row r="155" spans="3:10" ht="12.75" x14ac:dyDescent="0.2">
      <c r="C155" s="164"/>
      <c r="D155" s="165"/>
      <c r="E155" s="165"/>
      <c r="F155" s="195"/>
      <c r="I155" s="4"/>
      <c r="J155" s="4"/>
    </row>
    <row r="156" spans="3:10" ht="12.75" x14ac:dyDescent="0.2">
      <c r="C156" s="164"/>
      <c r="D156" s="165"/>
      <c r="E156" s="165"/>
      <c r="F156" s="195"/>
      <c r="I156" s="4"/>
      <c r="J156" s="4"/>
    </row>
    <row r="157" spans="3:10" ht="12.75" x14ac:dyDescent="0.2">
      <c r="C157" s="164"/>
      <c r="D157" s="165"/>
      <c r="E157" s="165"/>
      <c r="F157" s="195"/>
      <c r="I157" s="4"/>
      <c r="J157" s="4"/>
    </row>
    <row r="158" spans="3:10" ht="12.75" x14ac:dyDescent="0.2">
      <c r="C158" s="164"/>
      <c r="D158" s="165"/>
      <c r="E158" s="165"/>
      <c r="F158" s="195"/>
      <c r="I158" s="4"/>
      <c r="J158" s="4"/>
    </row>
    <row r="159" spans="3:10" ht="12.75" x14ac:dyDescent="0.2">
      <c r="C159" s="164"/>
      <c r="D159" s="165"/>
      <c r="E159" s="165"/>
      <c r="F159" s="195"/>
      <c r="I159" s="4"/>
      <c r="J159" s="4"/>
    </row>
    <row r="160" spans="3:10" ht="12.75" x14ac:dyDescent="0.2">
      <c r="C160" s="164"/>
      <c r="D160" s="165"/>
      <c r="E160" s="165"/>
      <c r="F160" s="195"/>
      <c r="I160" s="4"/>
      <c r="J160" s="4"/>
    </row>
    <row r="161" spans="3:10" ht="12.75" x14ac:dyDescent="0.2">
      <c r="C161" s="164"/>
      <c r="D161" s="165"/>
      <c r="E161" s="165"/>
      <c r="F161" s="195"/>
      <c r="I161" s="4"/>
      <c r="J161" s="4"/>
    </row>
    <row r="162" spans="3:10" ht="12.75" x14ac:dyDescent="0.2">
      <c r="C162" s="164"/>
      <c r="D162" s="165"/>
      <c r="E162" s="165"/>
      <c r="F162" s="195"/>
      <c r="I162" s="4"/>
      <c r="J162" s="4"/>
    </row>
    <row r="163" spans="3:10" ht="12.75" x14ac:dyDescent="0.2">
      <c r="C163" s="164"/>
      <c r="D163" s="165"/>
      <c r="E163" s="165"/>
      <c r="F163" s="195"/>
      <c r="I163" s="4"/>
      <c r="J163" s="4"/>
    </row>
    <row r="164" spans="3:10" ht="12.75" x14ac:dyDescent="0.2">
      <c r="C164" s="164"/>
      <c r="D164" s="165"/>
      <c r="E164" s="165"/>
      <c r="F164" s="195"/>
      <c r="I164" s="4"/>
      <c r="J164" s="4"/>
    </row>
    <row r="165" spans="3:10" ht="12.75" x14ac:dyDescent="0.2">
      <c r="C165" s="164"/>
      <c r="D165" s="165"/>
      <c r="E165" s="165"/>
      <c r="F165" s="195"/>
      <c r="I165" s="4"/>
      <c r="J165" s="4"/>
    </row>
    <row r="166" spans="3:10" ht="12.75" x14ac:dyDescent="0.2">
      <c r="C166" s="164"/>
      <c r="D166" s="165"/>
      <c r="E166" s="165"/>
      <c r="F166" s="195"/>
      <c r="I166" s="4"/>
      <c r="J166" s="4"/>
    </row>
    <row r="167" spans="3:10" ht="12.75" x14ac:dyDescent="0.2">
      <c r="C167" s="164"/>
      <c r="D167" s="165"/>
      <c r="E167" s="165"/>
      <c r="F167" s="195"/>
      <c r="I167" s="4"/>
      <c r="J167" s="4"/>
    </row>
    <row r="168" spans="3:10" ht="12.75" x14ac:dyDescent="0.2">
      <c r="C168" s="164"/>
      <c r="D168" s="165"/>
      <c r="E168" s="165"/>
      <c r="F168" s="195"/>
      <c r="I168" s="4"/>
      <c r="J168" s="4"/>
    </row>
    <row r="169" spans="3:10" ht="12.75" x14ac:dyDescent="0.2">
      <c r="C169" s="164"/>
      <c r="D169" s="165"/>
      <c r="E169" s="165"/>
      <c r="F169" s="195"/>
      <c r="I169" s="4"/>
      <c r="J169" s="4"/>
    </row>
    <row r="170" spans="3:10" ht="12.75" x14ac:dyDescent="0.2">
      <c r="C170" s="164"/>
      <c r="D170" s="165"/>
      <c r="E170" s="165"/>
      <c r="F170" s="195"/>
      <c r="I170" s="4"/>
      <c r="J170" s="4"/>
    </row>
    <row r="171" spans="3:10" ht="12.75" x14ac:dyDescent="0.2">
      <c r="C171" s="164"/>
      <c r="D171" s="165"/>
      <c r="E171" s="165"/>
      <c r="F171" s="195"/>
      <c r="I171" s="4"/>
      <c r="J171" s="4"/>
    </row>
    <row r="172" spans="3:10" ht="12.75" x14ac:dyDescent="0.2">
      <c r="C172" s="164"/>
      <c r="D172" s="165"/>
      <c r="E172" s="165"/>
      <c r="F172" s="195"/>
      <c r="I172" s="4"/>
      <c r="J172" s="4"/>
    </row>
    <row r="173" spans="3:10" ht="12.75" x14ac:dyDescent="0.2">
      <c r="C173" s="164"/>
      <c r="D173" s="165"/>
      <c r="E173" s="165"/>
      <c r="F173" s="195"/>
      <c r="I173" s="4"/>
      <c r="J173" s="4"/>
    </row>
    <row r="174" spans="3:10" ht="12.75" x14ac:dyDescent="0.2">
      <c r="C174" s="164"/>
      <c r="D174" s="165"/>
      <c r="E174" s="165"/>
      <c r="F174" s="195"/>
      <c r="I174" s="4"/>
      <c r="J174" s="4"/>
    </row>
    <row r="175" spans="3:10" ht="12.75" x14ac:dyDescent="0.2">
      <c r="C175" s="164"/>
      <c r="D175" s="165"/>
      <c r="E175" s="165"/>
      <c r="F175" s="195"/>
      <c r="I175" s="4"/>
      <c r="J175" s="4"/>
    </row>
    <row r="176" spans="3:10" ht="12.75" x14ac:dyDescent="0.2">
      <c r="C176" s="164"/>
      <c r="D176" s="165"/>
      <c r="E176" s="165"/>
      <c r="F176" s="195"/>
      <c r="I176" s="4"/>
      <c r="J176" s="4"/>
    </row>
    <row r="177" spans="3:10" ht="12.75" x14ac:dyDescent="0.2">
      <c r="C177" s="164"/>
      <c r="D177" s="165"/>
      <c r="E177" s="165"/>
      <c r="F177" s="195"/>
      <c r="I177" s="4"/>
      <c r="J177" s="4"/>
    </row>
    <row r="178" spans="3:10" ht="12.75" x14ac:dyDescent="0.2">
      <c r="C178" s="164"/>
      <c r="D178" s="165"/>
      <c r="E178" s="165"/>
      <c r="F178" s="195"/>
      <c r="I178" s="4"/>
      <c r="J178" s="4"/>
    </row>
    <row r="179" spans="3:10" ht="12.75" x14ac:dyDescent="0.2">
      <c r="C179" s="164"/>
      <c r="D179" s="165"/>
      <c r="E179" s="165"/>
      <c r="F179" s="195"/>
      <c r="I179" s="4"/>
      <c r="J179" s="4"/>
    </row>
    <row r="180" spans="3:10" ht="12.75" x14ac:dyDescent="0.2">
      <c r="C180" s="164"/>
      <c r="D180" s="165"/>
      <c r="E180" s="165"/>
      <c r="F180" s="195"/>
      <c r="I180" s="4"/>
      <c r="J180" s="4"/>
    </row>
    <row r="181" spans="3:10" ht="12.75" x14ac:dyDescent="0.2">
      <c r="C181" s="164"/>
      <c r="D181" s="165"/>
      <c r="E181" s="165"/>
      <c r="F181" s="195"/>
      <c r="I181" s="4"/>
      <c r="J181" s="4"/>
    </row>
    <row r="182" spans="3:10" ht="12.75" x14ac:dyDescent="0.2">
      <c r="C182" s="164"/>
      <c r="D182" s="165"/>
      <c r="E182" s="165"/>
      <c r="F182" s="195"/>
      <c r="I182" s="4"/>
      <c r="J182" s="4"/>
    </row>
    <row r="183" spans="3:10" ht="12.75" x14ac:dyDescent="0.2">
      <c r="C183" s="164"/>
      <c r="D183" s="165"/>
      <c r="E183" s="165"/>
      <c r="F183" s="195"/>
      <c r="I183" s="4"/>
      <c r="J183" s="4"/>
    </row>
    <row r="184" spans="3:10" ht="12.75" x14ac:dyDescent="0.2">
      <c r="C184" s="164"/>
      <c r="D184" s="165"/>
      <c r="E184" s="165"/>
      <c r="F184" s="195"/>
      <c r="I184" s="4"/>
      <c r="J184" s="4"/>
    </row>
    <row r="185" spans="3:10" ht="12.75" x14ac:dyDescent="0.2">
      <c r="C185" s="164"/>
      <c r="D185" s="165"/>
      <c r="E185" s="165"/>
      <c r="F185" s="195"/>
      <c r="I185" s="4"/>
      <c r="J185" s="4"/>
    </row>
    <row r="186" spans="3:10" ht="12.75" x14ac:dyDescent="0.2">
      <c r="C186" s="164"/>
      <c r="D186" s="165"/>
      <c r="E186" s="165"/>
      <c r="F186" s="195"/>
      <c r="I186" s="4"/>
      <c r="J186" s="4"/>
    </row>
    <row r="187" spans="3:10" ht="12.75" x14ac:dyDescent="0.2">
      <c r="C187" s="164"/>
      <c r="D187" s="165"/>
      <c r="E187" s="165"/>
      <c r="F187" s="195"/>
      <c r="I187" s="4"/>
      <c r="J187" s="4"/>
    </row>
    <row r="188" spans="3:10" ht="12.75" x14ac:dyDescent="0.2">
      <c r="C188" s="164"/>
      <c r="D188" s="165"/>
      <c r="E188" s="165"/>
      <c r="F188" s="195"/>
      <c r="I188" s="4"/>
      <c r="J188" s="4"/>
    </row>
    <row r="189" spans="3:10" ht="12.75" x14ac:dyDescent="0.2">
      <c r="C189" s="164"/>
      <c r="D189" s="165"/>
      <c r="E189" s="165"/>
      <c r="F189" s="195"/>
      <c r="I189" s="4"/>
      <c r="J189" s="4"/>
    </row>
    <row r="190" spans="3:10" ht="12.75" x14ac:dyDescent="0.2">
      <c r="C190" s="164"/>
      <c r="D190" s="165"/>
      <c r="E190" s="165"/>
      <c r="F190" s="195"/>
      <c r="I190" s="4"/>
      <c r="J190" s="4"/>
    </row>
    <row r="191" spans="3:10" ht="12.75" x14ac:dyDescent="0.2">
      <c r="C191" s="164"/>
      <c r="D191" s="165"/>
      <c r="E191" s="165"/>
      <c r="F191" s="195"/>
      <c r="I191" s="4"/>
      <c r="J191" s="4"/>
    </row>
    <row r="192" spans="3:10" ht="12.75" x14ac:dyDescent="0.2">
      <c r="C192" s="164"/>
      <c r="D192" s="165"/>
      <c r="E192" s="165"/>
      <c r="F192" s="195"/>
      <c r="I192" s="4"/>
      <c r="J192" s="4"/>
    </row>
    <row r="193" spans="3:10" ht="12.75" x14ac:dyDescent="0.2">
      <c r="C193" s="164"/>
      <c r="D193" s="165"/>
      <c r="E193" s="165"/>
      <c r="F193" s="195"/>
      <c r="I193" s="4"/>
      <c r="J193" s="4"/>
    </row>
    <row r="194" spans="3:10" ht="12.75" x14ac:dyDescent="0.2">
      <c r="C194" s="164"/>
      <c r="D194" s="165"/>
      <c r="E194" s="165"/>
      <c r="F194" s="195"/>
      <c r="I194" s="4"/>
      <c r="J194" s="4"/>
    </row>
    <row r="195" spans="3:10" ht="12.75" x14ac:dyDescent="0.2">
      <c r="C195" s="164"/>
      <c r="D195" s="165"/>
      <c r="E195" s="165"/>
      <c r="F195" s="195"/>
      <c r="I195" s="4"/>
      <c r="J195" s="4"/>
    </row>
    <row r="196" spans="3:10" ht="12.75" x14ac:dyDescent="0.2">
      <c r="C196" s="164"/>
      <c r="D196" s="165"/>
      <c r="E196" s="165"/>
      <c r="F196" s="195"/>
      <c r="I196" s="4"/>
      <c r="J196" s="4"/>
    </row>
    <row r="197" spans="3:10" ht="12.75" x14ac:dyDescent="0.2">
      <c r="C197" s="164"/>
      <c r="D197" s="165"/>
      <c r="E197" s="165"/>
      <c r="F197" s="195"/>
      <c r="I197" s="4"/>
      <c r="J197" s="4"/>
    </row>
    <row r="198" spans="3:10" ht="12.75" x14ac:dyDescent="0.2">
      <c r="C198" s="164"/>
      <c r="D198" s="165"/>
      <c r="E198" s="165"/>
      <c r="F198" s="195"/>
      <c r="I198" s="4"/>
      <c r="J198" s="4"/>
    </row>
    <row r="199" spans="3:10" ht="12.75" x14ac:dyDescent="0.2">
      <c r="C199" s="164"/>
      <c r="D199" s="165"/>
      <c r="E199" s="165"/>
      <c r="F199" s="195"/>
      <c r="I199" s="4"/>
      <c r="J199" s="4"/>
    </row>
    <row r="200" spans="3:10" ht="12.75" x14ac:dyDescent="0.2">
      <c r="C200" s="164"/>
      <c r="D200" s="165"/>
      <c r="E200" s="165"/>
      <c r="F200" s="195"/>
      <c r="I200" s="4"/>
      <c r="J200" s="4"/>
    </row>
    <row r="201" spans="3:10" ht="12.75" x14ac:dyDescent="0.2">
      <c r="C201" s="164"/>
      <c r="D201" s="165"/>
      <c r="E201" s="165"/>
      <c r="F201" s="195"/>
      <c r="I201" s="4"/>
      <c r="J201" s="4"/>
    </row>
    <row r="202" spans="3:10" ht="12.75" x14ac:dyDescent="0.2">
      <c r="C202" s="164"/>
      <c r="D202" s="165"/>
      <c r="E202" s="165"/>
      <c r="F202" s="195"/>
      <c r="I202" s="4"/>
      <c r="J202" s="4"/>
    </row>
    <row r="203" spans="3:10" ht="12.75" x14ac:dyDescent="0.2">
      <c r="C203" s="164"/>
      <c r="D203" s="165"/>
      <c r="E203" s="165"/>
      <c r="F203" s="195"/>
      <c r="I203" s="4"/>
      <c r="J203" s="4"/>
    </row>
    <row r="204" spans="3:10" ht="12.75" x14ac:dyDescent="0.2">
      <c r="C204" s="164"/>
      <c r="D204" s="165"/>
      <c r="E204" s="165"/>
      <c r="F204" s="195"/>
      <c r="I204" s="4"/>
      <c r="J204" s="4"/>
    </row>
    <row r="205" spans="3:10" ht="12.75" x14ac:dyDescent="0.2">
      <c r="C205" s="164"/>
      <c r="D205" s="165"/>
      <c r="E205" s="165"/>
      <c r="F205" s="195"/>
      <c r="I205" s="4"/>
      <c r="J205" s="4"/>
    </row>
    <row r="206" spans="3:10" ht="12.75" x14ac:dyDescent="0.2">
      <c r="C206" s="164"/>
      <c r="D206" s="165"/>
      <c r="E206" s="165"/>
      <c r="F206" s="195"/>
      <c r="I206" s="4"/>
      <c r="J206" s="4"/>
    </row>
    <row r="207" spans="3:10" ht="12.75" x14ac:dyDescent="0.2">
      <c r="C207" s="164"/>
      <c r="D207" s="165"/>
      <c r="E207" s="165"/>
      <c r="F207" s="195"/>
      <c r="I207" s="4"/>
      <c r="J207" s="4"/>
    </row>
    <row r="208" spans="3:10" ht="12.75" x14ac:dyDescent="0.2">
      <c r="C208" s="164"/>
      <c r="D208" s="165"/>
      <c r="E208" s="165"/>
      <c r="F208" s="195"/>
      <c r="I208" s="4"/>
      <c r="J208" s="4"/>
    </row>
    <row r="209" spans="3:10" ht="12.75" x14ac:dyDescent="0.2">
      <c r="C209" s="164"/>
      <c r="D209" s="165"/>
      <c r="E209" s="165"/>
      <c r="F209" s="195"/>
      <c r="I209" s="4"/>
      <c r="J209" s="4"/>
    </row>
    <row r="210" spans="3:10" ht="12.75" x14ac:dyDescent="0.2">
      <c r="C210" s="164"/>
      <c r="D210" s="165"/>
      <c r="E210" s="165"/>
      <c r="F210" s="195"/>
      <c r="I210" s="4"/>
      <c r="J210" s="4"/>
    </row>
    <row r="211" spans="3:10" ht="12.75" x14ac:dyDescent="0.2">
      <c r="C211" s="164"/>
      <c r="D211" s="165"/>
      <c r="E211" s="165"/>
      <c r="F211" s="195"/>
      <c r="I211" s="4"/>
      <c r="J211" s="4"/>
    </row>
    <row r="212" spans="3:10" ht="12.75" x14ac:dyDescent="0.2">
      <c r="C212" s="164"/>
      <c r="D212" s="165"/>
      <c r="E212" s="165"/>
      <c r="F212" s="195"/>
      <c r="I212" s="4"/>
      <c r="J212" s="4"/>
    </row>
    <row r="213" spans="3:10" ht="12.75" x14ac:dyDescent="0.2">
      <c r="C213" s="164"/>
      <c r="D213" s="165"/>
      <c r="E213" s="165"/>
      <c r="F213" s="195"/>
      <c r="I213" s="4"/>
      <c r="J213" s="4"/>
    </row>
    <row r="214" spans="3:10" ht="12.75" x14ac:dyDescent="0.2">
      <c r="C214" s="164"/>
      <c r="D214" s="165"/>
      <c r="E214" s="165"/>
      <c r="F214" s="195"/>
      <c r="I214" s="4"/>
      <c r="J214" s="4"/>
    </row>
    <row r="215" spans="3:10" ht="12.75" x14ac:dyDescent="0.2">
      <c r="C215" s="164"/>
      <c r="D215" s="165"/>
      <c r="E215" s="165"/>
      <c r="F215" s="195"/>
      <c r="I215" s="4"/>
      <c r="J215" s="4"/>
    </row>
    <row r="216" spans="3:10" ht="12.75" x14ac:dyDescent="0.2">
      <c r="C216" s="164"/>
      <c r="D216" s="165"/>
      <c r="E216" s="165"/>
      <c r="F216" s="195"/>
      <c r="I216" s="4"/>
      <c r="J216" s="4"/>
    </row>
    <row r="217" spans="3:10" ht="12.75" x14ac:dyDescent="0.2">
      <c r="C217" s="164"/>
      <c r="D217" s="165"/>
      <c r="E217" s="165"/>
      <c r="F217" s="195"/>
      <c r="I217" s="4"/>
      <c r="J217" s="4"/>
    </row>
    <row r="218" spans="3:10" ht="12.75" x14ac:dyDescent="0.2">
      <c r="C218" s="164"/>
      <c r="D218" s="165"/>
      <c r="E218" s="165"/>
      <c r="F218" s="195"/>
      <c r="I218" s="4"/>
      <c r="J218" s="4"/>
    </row>
    <row r="219" spans="3:10" ht="12.75" x14ac:dyDescent="0.2">
      <c r="C219" s="164"/>
      <c r="D219" s="165"/>
      <c r="E219" s="165"/>
      <c r="F219" s="195"/>
      <c r="I219" s="4"/>
      <c r="J219" s="4"/>
    </row>
    <row r="220" spans="3:10" ht="12.75" x14ac:dyDescent="0.2">
      <c r="C220" s="164"/>
      <c r="D220" s="165"/>
      <c r="E220" s="165"/>
      <c r="F220" s="195"/>
      <c r="I220" s="4"/>
      <c r="J220" s="4"/>
    </row>
    <row r="221" spans="3:10" ht="12.75" x14ac:dyDescent="0.2">
      <c r="C221" s="164"/>
      <c r="D221" s="165"/>
      <c r="E221" s="165"/>
      <c r="F221" s="195"/>
      <c r="I221" s="4"/>
      <c r="J221" s="4"/>
    </row>
    <row r="222" spans="3:10" ht="12.75" x14ac:dyDescent="0.2">
      <c r="C222" s="164"/>
      <c r="D222" s="165"/>
      <c r="E222" s="165"/>
      <c r="F222" s="195"/>
      <c r="I222" s="4"/>
      <c r="J222" s="4"/>
    </row>
    <row r="223" spans="3:10" ht="12.75" x14ac:dyDescent="0.2">
      <c r="C223" s="164"/>
      <c r="D223" s="165"/>
      <c r="E223" s="165"/>
      <c r="F223" s="195"/>
      <c r="I223" s="4"/>
      <c r="J223" s="4"/>
    </row>
    <row r="224" spans="3:10" ht="12.75" x14ac:dyDescent="0.2">
      <c r="C224" s="164"/>
      <c r="D224" s="165"/>
      <c r="E224" s="165"/>
      <c r="F224" s="195"/>
      <c r="I224" s="4"/>
      <c r="J224" s="4"/>
    </row>
    <row r="225" spans="3:10" ht="12.75" x14ac:dyDescent="0.2">
      <c r="C225" s="164"/>
      <c r="D225" s="165"/>
      <c r="E225" s="165"/>
      <c r="F225" s="195"/>
      <c r="I225" s="4"/>
      <c r="J225" s="4"/>
    </row>
    <row r="226" spans="3:10" ht="12.75" x14ac:dyDescent="0.2">
      <c r="C226" s="164"/>
      <c r="D226" s="165"/>
      <c r="E226" s="165"/>
      <c r="F226" s="195"/>
      <c r="I226" s="4"/>
      <c r="J226" s="4"/>
    </row>
    <row r="227" spans="3:10" ht="12.75" x14ac:dyDescent="0.2">
      <c r="C227" s="164"/>
      <c r="D227" s="165"/>
      <c r="E227" s="165"/>
      <c r="F227" s="195"/>
      <c r="I227" s="4"/>
      <c r="J227" s="4"/>
    </row>
    <row r="228" spans="3:10" ht="12.75" x14ac:dyDescent="0.2">
      <c r="C228" s="164"/>
      <c r="D228" s="165"/>
      <c r="E228" s="165"/>
      <c r="F228" s="195"/>
      <c r="I228" s="4"/>
      <c r="J228" s="4"/>
    </row>
    <row r="229" spans="3:10" ht="12.75" x14ac:dyDescent="0.2">
      <c r="C229" s="164"/>
      <c r="D229" s="165"/>
      <c r="E229" s="165"/>
      <c r="F229" s="195"/>
      <c r="I229" s="4"/>
      <c r="J229" s="4"/>
    </row>
    <row r="230" spans="3:10" ht="12.75" x14ac:dyDescent="0.2">
      <c r="C230" s="164"/>
      <c r="D230" s="165"/>
      <c r="E230" s="165"/>
      <c r="F230" s="195"/>
      <c r="I230" s="4"/>
      <c r="J230" s="4"/>
    </row>
    <row r="231" spans="3:10" ht="12.75" x14ac:dyDescent="0.2">
      <c r="C231" s="164"/>
      <c r="D231" s="165"/>
      <c r="E231" s="165"/>
      <c r="F231" s="195"/>
      <c r="I231" s="4"/>
      <c r="J231" s="4"/>
    </row>
    <row r="232" spans="3:10" ht="12.75" x14ac:dyDescent="0.2">
      <c r="C232" s="164"/>
      <c r="D232" s="165"/>
      <c r="E232" s="165"/>
      <c r="F232" s="195"/>
      <c r="I232" s="4"/>
      <c r="J232" s="4"/>
    </row>
    <row r="233" spans="3:10" ht="12.75" x14ac:dyDescent="0.2">
      <c r="C233" s="164"/>
      <c r="D233" s="165"/>
      <c r="E233" s="165"/>
      <c r="F233" s="195"/>
      <c r="I233" s="4"/>
      <c r="J233" s="4"/>
    </row>
    <row r="234" spans="3:10" ht="12.75" x14ac:dyDescent="0.2">
      <c r="C234" s="164"/>
      <c r="D234" s="165"/>
      <c r="E234" s="165"/>
      <c r="F234" s="195"/>
      <c r="I234" s="4"/>
      <c r="J234" s="4"/>
    </row>
    <row r="235" spans="3:10" ht="12.75" x14ac:dyDescent="0.2">
      <c r="C235" s="164"/>
      <c r="D235" s="165"/>
      <c r="E235" s="165"/>
      <c r="F235" s="195"/>
      <c r="I235" s="4"/>
      <c r="J235" s="4"/>
    </row>
    <row r="236" spans="3:10" ht="12.75" x14ac:dyDescent="0.2">
      <c r="C236" s="164"/>
      <c r="D236" s="165"/>
      <c r="E236" s="165"/>
      <c r="F236" s="195"/>
      <c r="I236" s="4"/>
      <c r="J236" s="4"/>
    </row>
    <row r="237" spans="3:10" ht="12.75" x14ac:dyDescent="0.2">
      <c r="C237" s="164"/>
      <c r="D237" s="165"/>
      <c r="E237" s="165"/>
      <c r="F237" s="195"/>
      <c r="I237" s="4"/>
      <c r="J237" s="4"/>
    </row>
    <row r="238" spans="3:10" ht="12.75" x14ac:dyDescent="0.2">
      <c r="C238" s="164"/>
      <c r="D238" s="165"/>
      <c r="E238" s="165"/>
      <c r="F238" s="195"/>
      <c r="I238" s="4"/>
      <c r="J238" s="4"/>
    </row>
    <row r="239" spans="3:10" ht="12.75" x14ac:dyDescent="0.2">
      <c r="C239" s="164"/>
      <c r="D239" s="165"/>
      <c r="E239" s="165"/>
      <c r="F239" s="195"/>
      <c r="I239" s="4"/>
      <c r="J239" s="4"/>
    </row>
    <row r="240" spans="3:10" ht="12.75" x14ac:dyDescent="0.2">
      <c r="C240" s="164"/>
      <c r="D240" s="165"/>
      <c r="E240" s="165"/>
      <c r="F240" s="195"/>
      <c r="I240" s="4"/>
      <c r="J240" s="4"/>
    </row>
    <row r="241" spans="3:10" ht="12.75" x14ac:dyDescent="0.2">
      <c r="C241" s="164"/>
      <c r="D241" s="165"/>
      <c r="E241" s="165"/>
      <c r="F241" s="195"/>
      <c r="I241" s="4"/>
      <c r="J241" s="4"/>
    </row>
    <row r="242" spans="3:10" ht="12.75" x14ac:dyDescent="0.2">
      <c r="C242" s="164"/>
      <c r="D242" s="165"/>
      <c r="E242" s="165"/>
      <c r="F242" s="195"/>
      <c r="I242" s="4"/>
      <c r="J242" s="4"/>
    </row>
    <row r="243" spans="3:10" ht="12.75" x14ac:dyDescent="0.2">
      <c r="C243" s="164"/>
      <c r="D243" s="165"/>
      <c r="E243" s="165"/>
      <c r="F243" s="195"/>
      <c r="I243" s="4"/>
      <c r="J243" s="4"/>
    </row>
    <row r="244" spans="3:10" ht="12.75" x14ac:dyDescent="0.2">
      <c r="C244" s="164"/>
      <c r="D244" s="165"/>
      <c r="E244" s="165"/>
      <c r="F244" s="195"/>
      <c r="I244" s="4"/>
      <c r="J244" s="4"/>
    </row>
    <row r="245" spans="3:10" ht="12.75" x14ac:dyDescent="0.2">
      <c r="C245" s="164"/>
      <c r="D245" s="165"/>
      <c r="E245" s="165"/>
      <c r="F245" s="195"/>
      <c r="I245" s="4"/>
      <c r="J245" s="4"/>
    </row>
    <row r="246" spans="3:10" ht="12.75" x14ac:dyDescent="0.2">
      <c r="C246" s="164"/>
      <c r="D246" s="165"/>
      <c r="E246" s="165"/>
      <c r="F246" s="195"/>
      <c r="I246" s="4"/>
      <c r="J246" s="4"/>
    </row>
    <row r="247" spans="3:10" ht="12.75" x14ac:dyDescent="0.2">
      <c r="C247" s="164"/>
      <c r="D247" s="165"/>
      <c r="E247" s="165"/>
      <c r="F247" s="195"/>
      <c r="I247" s="4"/>
      <c r="J247" s="4"/>
    </row>
    <row r="248" spans="3:10" ht="12.75" x14ac:dyDescent="0.2">
      <c r="C248" s="164"/>
      <c r="D248" s="165"/>
      <c r="E248" s="165"/>
      <c r="F248" s="195"/>
      <c r="I248" s="4"/>
      <c r="J248" s="4"/>
    </row>
    <row r="249" spans="3:10" ht="12.75" x14ac:dyDescent="0.2">
      <c r="C249" s="164"/>
      <c r="D249" s="165"/>
      <c r="E249" s="165"/>
      <c r="F249" s="195"/>
      <c r="I249" s="4"/>
      <c r="J249" s="4"/>
    </row>
    <row r="250" spans="3:10" ht="12.75" x14ac:dyDescent="0.2">
      <c r="C250" s="164"/>
      <c r="D250" s="165"/>
      <c r="E250" s="165"/>
      <c r="F250" s="195"/>
      <c r="I250" s="4"/>
      <c r="J250" s="4"/>
    </row>
    <row r="251" spans="3:10" ht="12.75" x14ac:dyDescent="0.2">
      <c r="C251" s="164"/>
      <c r="D251" s="165"/>
      <c r="E251" s="165"/>
      <c r="F251" s="195"/>
      <c r="I251" s="4"/>
      <c r="J251" s="4"/>
    </row>
    <row r="252" spans="3:10" ht="12.75" x14ac:dyDescent="0.2">
      <c r="C252" s="164"/>
      <c r="D252" s="165"/>
      <c r="E252" s="165"/>
      <c r="F252" s="195"/>
      <c r="I252" s="4"/>
      <c r="J252" s="4"/>
    </row>
    <row r="253" spans="3:10" ht="12.75" x14ac:dyDescent="0.2">
      <c r="C253" s="164"/>
      <c r="D253" s="165"/>
      <c r="E253" s="165"/>
      <c r="F253" s="195"/>
      <c r="I253" s="4"/>
      <c r="J253" s="4"/>
    </row>
    <row r="254" spans="3:10" ht="12.75" x14ac:dyDescent="0.2">
      <c r="C254" s="164"/>
      <c r="D254" s="165"/>
      <c r="E254" s="165"/>
      <c r="F254" s="195"/>
      <c r="I254" s="4"/>
      <c r="J254" s="4"/>
    </row>
    <row r="255" spans="3:10" ht="12.75" x14ac:dyDescent="0.2">
      <c r="C255" s="164"/>
      <c r="D255" s="165"/>
      <c r="E255" s="165"/>
      <c r="F255" s="195"/>
      <c r="I255" s="4"/>
      <c r="J255" s="4"/>
    </row>
    <row r="256" spans="3:10" ht="12.75" x14ac:dyDescent="0.2">
      <c r="C256" s="164"/>
      <c r="D256" s="165"/>
      <c r="E256" s="165"/>
      <c r="F256" s="195"/>
      <c r="I256" s="4"/>
      <c r="J256" s="4"/>
    </row>
    <row r="257" spans="3:10" ht="12.75" x14ac:dyDescent="0.2">
      <c r="C257" s="164"/>
      <c r="D257" s="165"/>
      <c r="E257" s="165"/>
      <c r="F257" s="195"/>
      <c r="I257" s="4"/>
      <c r="J257" s="4"/>
    </row>
    <row r="258" spans="3:10" ht="12.75" x14ac:dyDescent="0.2">
      <c r="C258" s="164"/>
      <c r="D258" s="165"/>
      <c r="E258" s="165"/>
      <c r="F258" s="195"/>
      <c r="I258" s="4"/>
      <c r="J258" s="4"/>
    </row>
    <row r="259" spans="3:10" ht="12.75" x14ac:dyDescent="0.2">
      <c r="C259" s="164"/>
      <c r="D259" s="165"/>
      <c r="E259" s="165"/>
      <c r="F259" s="195"/>
      <c r="I259" s="4"/>
      <c r="J259" s="4"/>
    </row>
    <row r="260" spans="3:10" ht="12.75" x14ac:dyDescent="0.2">
      <c r="C260" s="164"/>
      <c r="D260" s="165"/>
      <c r="E260" s="165"/>
      <c r="F260" s="195"/>
      <c r="I260" s="4"/>
      <c r="J260" s="4"/>
    </row>
    <row r="261" spans="3:10" ht="12.75" x14ac:dyDescent="0.2">
      <c r="C261" s="164"/>
      <c r="D261" s="165"/>
      <c r="E261" s="165"/>
      <c r="F261" s="195"/>
      <c r="I261" s="4"/>
      <c r="J261" s="4"/>
    </row>
    <row r="262" spans="3:10" ht="12.75" x14ac:dyDescent="0.2">
      <c r="C262" s="164"/>
      <c r="D262" s="165"/>
      <c r="E262" s="165"/>
      <c r="F262" s="195"/>
      <c r="I262" s="4"/>
      <c r="J262" s="4"/>
    </row>
    <row r="263" spans="3:10" ht="12.75" x14ac:dyDescent="0.2">
      <c r="C263" s="164"/>
      <c r="D263" s="165"/>
      <c r="E263" s="165"/>
      <c r="F263" s="195"/>
      <c r="I263" s="4"/>
      <c r="J263" s="4"/>
    </row>
    <row r="264" spans="3:10" ht="12.75" x14ac:dyDescent="0.2">
      <c r="C264" s="164"/>
      <c r="D264" s="165"/>
      <c r="E264" s="165"/>
      <c r="F264" s="195"/>
      <c r="I264" s="4"/>
      <c r="J264" s="4"/>
    </row>
    <row r="265" spans="3:10" ht="12.75" x14ac:dyDescent="0.2">
      <c r="C265" s="164"/>
      <c r="D265" s="165"/>
      <c r="E265" s="165"/>
      <c r="F265" s="195"/>
      <c r="I265" s="4"/>
      <c r="J265" s="4"/>
    </row>
    <row r="266" spans="3:10" ht="12.75" x14ac:dyDescent="0.2">
      <c r="C266" s="164"/>
      <c r="D266" s="165"/>
      <c r="E266" s="165"/>
      <c r="F266" s="195"/>
      <c r="I266" s="4"/>
      <c r="J266" s="4"/>
    </row>
    <row r="267" spans="3:10" ht="12.75" x14ac:dyDescent="0.2">
      <c r="C267" s="164"/>
      <c r="D267" s="165"/>
      <c r="E267" s="165"/>
      <c r="F267" s="195"/>
      <c r="I267" s="4"/>
      <c r="J267" s="4"/>
    </row>
    <row r="268" spans="3:10" ht="12.75" x14ac:dyDescent="0.2">
      <c r="C268" s="164"/>
      <c r="D268" s="165"/>
      <c r="E268" s="165"/>
      <c r="F268" s="195"/>
      <c r="I268" s="4"/>
      <c r="J268" s="4"/>
    </row>
    <row r="269" spans="3:10" ht="12.75" x14ac:dyDescent="0.2">
      <c r="C269" s="164"/>
      <c r="D269" s="165"/>
      <c r="E269" s="165"/>
      <c r="F269" s="195"/>
      <c r="I269" s="4"/>
      <c r="J269" s="4"/>
    </row>
    <row r="270" spans="3:10" ht="12.75" x14ac:dyDescent="0.2">
      <c r="C270" s="164"/>
      <c r="D270" s="165"/>
      <c r="E270" s="165"/>
      <c r="F270" s="195"/>
      <c r="I270" s="4"/>
      <c r="J270" s="4"/>
    </row>
    <row r="271" spans="3:10" ht="12.75" x14ac:dyDescent="0.2">
      <c r="C271" s="164"/>
      <c r="D271" s="165"/>
      <c r="E271" s="165"/>
      <c r="F271" s="195"/>
      <c r="I271" s="4"/>
      <c r="J271" s="4"/>
    </row>
    <row r="272" spans="3:10" ht="12.75" x14ac:dyDescent="0.2">
      <c r="C272" s="164"/>
      <c r="D272" s="165"/>
      <c r="E272" s="165"/>
      <c r="F272" s="195"/>
      <c r="I272" s="4"/>
      <c r="J272" s="4"/>
    </row>
    <row r="273" spans="3:10" ht="12.75" x14ac:dyDescent="0.2">
      <c r="C273" s="164"/>
      <c r="D273" s="165"/>
      <c r="E273" s="165"/>
      <c r="F273" s="195"/>
      <c r="I273" s="4"/>
      <c r="J273" s="4"/>
    </row>
    <row r="274" spans="3:10" ht="12.75" x14ac:dyDescent="0.2">
      <c r="C274" s="164"/>
      <c r="D274" s="165"/>
      <c r="E274" s="165"/>
      <c r="F274" s="195"/>
      <c r="I274" s="4"/>
      <c r="J274" s="4"/>
    </row>
    <row r="275" spans="3:10" ht="12.75" x14ac:dyDescent="0.2">
      <c r="C275" s="164"/>
      <c r="D275" s="165"/>
      <c r="E275" s="165"/>
      <c r="F275" s="195"/>
      <c r="I275" s="4"/>
      <c r="J275" s="4"/>
    </row>
    <row r="276" spans="3:10" ht="12.75" x14ac:dyDescent="0.2">
      <c r="C276" s="164"/>
      <c r="D276" s="165"/>
      <c r="E276" s="165"/>
      <c r="F276" s="195"/>
      <c r="I276" s="4"/>
      <c r="J276" s="4"/>
    </row>
    <row r="277" spans="3:10" ht="12.75" x14ac:dyDescent="0.2">
      <c r="C277" s="164"/>
      <c r="D277" s="165"/>
      <c r="E277" s="165"/>
      <c r="F277" s="195"/>
      <c r="I277" s="4"/>
      <c r="J277" s="4"/>
    </row>
    <row r="278" spans="3:10" ht="12.75" x14ac:dyDescent="0.2">
      <c r="C278" s="164"/>
      <c r="D278" s="165"/>
      <c r="E278" s="165"/>
      <c r="F278" s="195"/>
      <c r="I278" s="4"/>
      <c r="J278" s="4"/>
    </row>
    <row r="279" spans="3:10" ht="12.75" x14ac:dyDescent="0.2">
      <c r="C279" s="164"/>
      <c r="D279" s="165"/>
      <c r="E279" s="165"/>
      <c r="F279" s="195"/>
      <c r="I279" s="4"/>
      <c r="J279" s="4"/>
    </row>
    <row r="280" spans="3:10" ht="12.75" x14ac:dyDescent="0.2">
      <c r="C280" s="164"/>
      <c r="D280" s="165"/>
      <c r="E280" s="165"/>
      <c r="F280" s="195"/>
      <c r="I280" s="4"/>
      <c r="J280" s="4"/>
    </row>
    <row r="281" spans="3:10" ht="12.75" x14ac:dyDescent="0.2">
      <c r="C281" s="164"/>
      <c r="D281" s="165"/>
      <c r="E281" s="165"/>
      <c r="F281" s="195"/>
      <c r="I281" s="4"/>
      <c r="J281" s="4"/>
    </row>
    <row r="282" spans="3:10" ht="12.75" x14ac:dyDescent="0.2">
      <c r="C282" s="164"/>
      <c r="D282" s="165"/>
      <c r="E282" s="165"/>
      <c r="F282" s="195"/>
      <c r="I282" s="4"/>
      <c r="J282" s="4"/>
    </row>
    <row r="283" spans="3:10" ht="12.75" x14ac:dyDescent="0.2">
      <c r="C283" s="164"/>
      <c r="D283" s="165"/>
      <c r="E283" s="165"/>
      <c r="F283" s="195"/>
      <c r="I283" s="4"/>
      <c r="J283" s="4"/>
    </row>
    <row r="284" spans="3:10" ht="12.75" x14ac:dyDescent="0.2">
      <c r="C284" s="164"/>
      <c r="D284" s="165"/>
      <c r="E284" s="165"/>
      <c r="F284" s="195"/>
      <c r="I284" s="4"/>
      <c r="J284" s="4"/>
    </row>
    <row r="285" spans="3:10" ht="12.75" x14ac:dyDescent="0.2">
      <c r="C285" s="164"/>
      <c r="D285" s="165"/>
      <c r="E285" s="165"/>
      <c r="F285" s="195"/>
      <c r="I285" s="4"/>
      <c r="J285" s="4"/>
    </row>
    <row r="286" spans="3:10" ht="12.75" x14ac:dyDescent="0.2">
      <c r="C286" s="164"/>
      <c r="D286" s="165"/>
      <c r="E286" s="165"/>
      <c r="F286" s="195"/>
      <c r="I286" s="4"/>
      <c r="J286" s="4"/>
    </row>
    <row r="287" spans="3:10" ht="12.75" x14ac:dyDescent="0.2">
      <c r="C287" s="164"/>
      <c r="D287" s="165"/>
      <c r="E287" s="165"/>
      <c r="F287" s="195"/>
      <c r="I287" s="4"/>
      <c r="J287" s="4"/>
    </row>
    <row r="288" spans="3:10" ht="12.75" x14ac:dyDescent="0.2">
      <c r="C288" s="164"/>
      <c r="D288" s="165"/>
      <c r="E288" s="165"/>
      <c r="F288" s="195"/>
      <c r="I288" s="4"/>
      <c r="J288" s="4"/>
    </row>
    <row r="289" spans="3:10" ht="12.75" x14ac:dyDescent="0.2">
      <c r="C289" s="164"/>
      <c r="D289" s="165"/>
      <c r="E289" s="165"/>
      <c r="F289" s="195"/>
      <c r="I289" s="4"/>
      <c r="J289" s="4"/>
    </row>
    <row r="290" spans="3:10" ht="12.75" x14ac:dyDescent="0.2">
      <c r="C290" s="164"/>
      <c r="D290" s="165"/>
      <c r="E290" s="165"/>
      <c r="F290" s="195"/>
      <c r="I290" s="4"/>
      <c r="J290" s="4"/>
    </row>
    <row r="291" spans="3:10" ht="12.75" x14ac:dyDescent="0.2">
      <c r="C291" s="164"/>
      <c r="D291" s="165"/>
      <c r="E291" s="165"/>
      <c r="F291" s="195"/>
      <c r="I291" s="4"/>
      <c r="J291" s="4"/>
    </row>
    <row r="292" spans="3:10" ht="12.75" x14ac:dyDescent="0.2">
      <c r="C292" s="164"/>
      <c r="D292" s="165"/>
      <c r="E292" s="165"/>
      <c r="F292" s="195"/>
      <c r="I292" s="4"/>
      <c r="J292" s="4"/>
    </row>
    <row r="293" spans="3:10" ht="12.75" x14ac:dyDescent="0.2">
      <c r="C293" s="164"/>
      <c r="D293" s="165"/>
      <c r="E293" s="165"/>
      <c r="F293" s="195"/>
      <c r="I293" s="4"/>
      <c r="J293" s="4"/>
    </row>
    <row r="294" spans="3:10" ht="12.75" x14ac:dyDescent="0.2">
      <c r="C294" s="164"/>
      <c r="D294" s="165"/>
      <c r="E294" s="165"/>
      <c r="F294" s="195"/>
      <c r="I294" s="4"/>
      <c r="J294" s="4"/>
    </row>
    <row r="295" spans="3:10" ht="12.75" x14ac:dyDescent="0.2">
      <c r="C295" s="164"/>
      <c r="D295" s="165"/>
      <c r="E295" s="165"/>
      <c r="F295" s="195"/>
      <c r="I295" s="4"/>
      <c r="J295" s="4"/>
    </row>
    <row r="296" spans="3:10" ht="12.75" x14ac:dyDescent="0.2">
      <c r="C296" s="164"/>
      <c r="D296" s="165"/>
      <c r="E296" s="165"/>
      <c r="F296" s="195"/>
      <c r="I296" s="4"/>
      <c r="J296" s="4"/>
    </row>
    <row r="297" spans="3:10" ht="12.75" x14ac:dyDescent="0.2">
      <c r="C297" s="164"/>
      <c r="D297" s="165"/>
      <c r="E297" s="165"/>
      <c r="F297" s="195"/>
      <c r="I297" s="4"/>
      <c r="J297" s="4"/>
    </row>
  </sheetData>
  <hyperlinks>
    <hyperlink ref="I3" r:id="rId1" xr:uid="{00000000-0004-0000-0300-000000000000}"/>
    <hyperlink ref="I4" r:id="rId2" location="description" xr:uid="{00000000-0004-0000-0300-000001000000}"/>
    <hyperlink ref="I5" r:id="rId3" xr:uid="{00000000-0004-0000-0300-000002000000}"/>
    <hyperlink ref="I6" r:id="rId4" xr:uid="{00000000-0004-0000-0300-000003000000}"/>
    <hyperlink ref="I7" r:id="rId5" xr:uid="{00000000-0004-0000-0300-000005000000}"/>
    <hyperlink ref="I8" r:id="rId6" xr:uid="{00000000-0004-0000-0300-000006000000}"/>
    <hyperlink ref="I9" r:id="rId7" xr:uid="{00000000-0004-0000-0300-000007000000}"/>
    <hyperlink ref="I10" r:id="rId8" xr:uid="{00000000-0004-0000-0300-000008000000}"/>
    <hyperlink ref="I11" r:id="rId9" xr:uid="{00000000-0004-0000-0300-000009000000}"/>
    <hyperlink ref="I12" r:id="rId10" location="technical-data" xr:uid="{00000000-0004-0000-0300-00000A000000}"/>
    <hyperlink ref="I13" r:id="rId11" xr:uid="{00000000-0004-0000-0300-00000B000000}"/>
    <hyperlink ref="I14" r:id="rId12" xr:uid="{00000000-0004-0000-0300-00000C000000}"/>
    <hyperlink ref="I15" r:id="rId13" xr:uid="{00000000-0004-0000-0300-00000D000000}"/>
    <hyperlink ref="I16" r:id="rId14" xr:uid="{00000000-0004-0000-0300-00000E000000}"/>
    <hyperlink ref="I17" r:id="rId15" xr:uid="{00000000-0004-0000-0300-00000F000000}"/>
    <hyperlink ref="I18" r:id="rId16" xr:uid="{00000000-0004-0000-0300-000010000000}"/>
    <hyperlink ref="I19" r:id="rId17" xr:uid="{00000000-0004-0000-0300-000011000000}"/>
    <hyperlink ref="I20" r:id="rId18" xr:uid="{00000000-0004-0000-0300-000012000000}"/>
    <hyperlink ref="I21" r:id="rId19" xr:uid="{00000000-0004-0000-0300-000013000000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05E9-E3F8-4435-981C-57A767691B66}">
  <dimension ref="A1:J298"/>
  <sheetViews>
    <sheetView topLeftCell="C14" zoomScaleNormal="100" workbookViewId="0">
      <selection activeCell="F19" sqref="F19"/>
    </sheetView>
  </sheetViews>
  <sheetFormatPr baseColWidth="10" defaultColWidth="12.5703125" defaultRowHeight="12.75" x14ac:dyDescent="0.2"/>
  <cols>
    <col min="1" max="1" width="3.42578125" customWidth="1"/>
    <col min="2" max="2" width="42.5703125" customWidth="1"/>
    <col min="9" max="9" width="83.5703125" customWidth="1"/>
  </cols>
  <sheetData>
    <row r="1" spans="1:10" ht="15.75" customHeight="1" x14ac:dyDescent="0.25">
      <c r="A1" s="166" t="s">
        <v>268</v>
      </c>
      <c r="B1" s="12"/>
      <c r="C1" s="12"/>
      <c r="D1" s="12"/>
      <c r="E1" s="12"/>
      <c r="F1" s="12"/>
      <c r="G1" s="12"/>
      <c r="H1" s="15"/>
      <c r="I1" s="12"/>
      <c r="J1" s="3"/>
    </row>
    <row r="2" spans="1:10" ht="15.75" customHeight="1" x14ac:dyDescent="0.25">
      <c r="A2" s="166"/>
      <c r="B2" s="237" t="s">
        <v>304</v>
      </c>
      <c r="C2" s="12"/>
      <c r="D2" s="12"/>
      <c r="E2" s="12"/>
      <c r="F2" s="12"/>
      <c r="G2" s="12"/>
      <c r="H2" s="15"/>
      <c r="I2" s="12"/>
      <c r="J2" s="3"/>
    </row>
    <row r="3" spans="1:10" x14ac:dyDescent="0.2">
      <c r="A3" s="176"/>
      <c r="B3" s="177" t="s">
        <v>258</v>
      </c>
      <c r="C3" s="177" t="s">
        <v>259</v>
      </c>
      <c r="D3" s="177" t="s">
        <v>260</v>
      </c>
      <c r="E3" s="177" t="s">
        <v>261</v>
      </c>
      <c r="F3" s="198" t="s">
        <v>305</v>
      </c>
      <c r="G3" s="179" t="s">
        <v>257</v>
      </c>
      <c r="H3" s="253">
        <f>SUM(E4:E24)</f>
        <v>601.82000000000005</v>
      </c>
      <c r="I3" s="247" t="s">
        <v>307</v>
      </c>
      <c r="J3" s="3"/>
    </row>
    <row r="4" spans="1:10" x14ac:dyDescent="0.2">
      <c r="A4" s="168">
        <v>1</v>
      </c>
      <c r="B4" s="142" t="s">
        <v>308</v>
      </c>
      <c r="C4" s="248">
        <v>1</v>
      </c>
      <c r="D4" s="250">
        <v>15.04</v>
      </c>
      <c r="E4" s="251">
        <f t="shared" ref="E4:E24" si="0">C4*D4</f>
        <v>15.04</v>
      </c>
      <c r="F4" s="266" t="s">
        <v>327</v>
      </c>
      <c r="H4" s="260"/>
      <c r="I4" s="261" t="s">
        <v>342</v>
      </c>
      <c r="J4" s="4"/>
    </row>
    <row r="5" spans="1:10" x14ac:dyDescent="0.2">
      <c r="A5" s="168">
        <v>2</v>
      </c>
      <c r="B5" s="142" t="s">
        <v>309</v>
      </c>
      <c r="C5" s="248">
        <v>1</v>
      </c>
      <c r="D5" s="251">
        <v>28.88</v>
      </c>
      <c r="E5" s="251">
        <f t="shared" si="0"/>
        <v>28.88</v>
      </c>
      <c r="F5" s="266" t="s">
        <v>327</v>
      </c>
      <c r="H5" s="258"/>
      <c r="I5" s="257" t="s">
        <v>324</v>
      </c>
      <c r="J5" s="4"/>
    </row>
    <row r="6" spans="1:10" x14ac:dyDescent="0.2">
      <c r="A6" s="168">
        <v>3</v>
      </c>
      <c r="B6" s="142" t="s">
        <v>310</v>
      </c>
      <c r="C6" s="248">
        <v>1</v>
      </c>
      <c r="D6" s="251">
        <v>27.65</v>
      </c>
      <c r="E6" s="251">
        <f t="shared" si="0"/>
        <v>27.65</v>
      </c>
      <c r="F6" s="266" t="s">
        <v>327</v>
      </c>
      <c r="I6" s="262" t="s">
        <v>341</v>
      </c>
      <c r="J6" s="4"/>
    </row>
    <row r="7" spans="1:10" x14ac:dyDescent="0.2">
      <c r="A7" s="168">
        <v>4</v>
      </c>
      <c r="B7" s="142" t="s">
        <v>311</v>
      </c>
      <c r="C7" s="248">
        <v>2</v>
      </c>
      <c r="D7" s="251">
        <v>12.67</v>
      </c>
      <c r="E7" s="251">
        <f t="shared" si="0"/>
        <v>25.34</v>
      </c>
      <c r="F7" s="266" t="s">
        <v>327</v>
      </c>
      <c r="I7" s="262" t="s">
        <v>326</v>
      </c>
      <c r="J7" s="4"/>
    </row>
    <row r="8" spans="1:10" x14ac:dyDescent="0.2">
      <c r="A8" s="168">
        <v>6</v>
      </c>
      <c r="B8" s="142" t="s">
        <v>312</v>
      </c>
      <c r="C8" s="248">
        <v>1</v>
      </c>
      <c r="D8" s="251">
        <v>8.74</v>
      </c>
      <c r="E8" s="251">
        <f t="shared" si="0"/>
        <v>8.74</v>
      </c>
      <c r="F8" s="266" t="s">
        <v>327</v>
      </c>
      <c r="I8" s="263" t="s">
        <v>340</v>
      </c>
      <c r="J8" s="4"/>
    </row>
    <row r="9" spans="1:10" x14ac:dyDescent="0.2">
      <c r="A9" s="168">
        <v>7</v>
      </c>
      <c r="B9" s="142" t="s">
        <v>313</v>
      </c>
      <c r="C9" s="248">
        <v>1</v>
      </c>
      <c r="D9" s="251">
        <v>43.43</v>
      </c>
      <c r="E9" s="251">
        <f t="shared" si="0"/>
        <v>43.43</v>
      </c>
      <c r="F9" s="266" t="s">
        <v>327</v>
      </c>
      <c r="I9" s="262" t="s">
        <v>339</v>
      </c>
      <c r="J9" s="4"/>
    </row>
    <row r="10" spans="1:10" x14ac:dyDescent="0.2">
      <c r="A10" s="168">
        <v>8</v>
      </c>
      <c r="B10" s="142" t="s">
        <v>314</v>
      </c>
      <c r="C10" s="248">
        <v>2</v>
      </c>
      <c r="D10" s="251">
        <v>30.71</v>
      </c>
      <c r="E10" s="251">
        <f t="shared" si="0"/>
        <v>61.42</v>
      </c>
      <c r="F10" s="266" t="s">
        <v>327</v>
      </c>
      <c r="I10" s="262" t="s">
        <v>325</v>
      </c>
      <c r="J10" s="4"/>
    </row>
    <row r="11" spans="1:10" x14ac:dyDescent="0.2">
      <c r="A11" s="168">
        <v>9</v>
      </c>
      <c r="B11" s="142" t="s">
        <v>315</v>
      </c>
      <c r="C11" s="248">
        <v>19</v>
      </c>
      <c r="D11" s="251">
        <v>2.48</v>
      </c>
      <c r="E11" s="251">
        <f t="shared" si="0"/>
        <v>47.12</v>
      </c>
      <c r="F11" s="266" t="s">
        <v>328</v>
      </c>
      <c r="I11" s="262" t="s">
        <v>330</v>
      </c>
      <c r="J11" s="4"/>
    </row>
    <row r="12" spans="1:10" x14ac:dyDescent="0.2">
      <c r="A12" s="168">
        <v>10</v>
      </c>
      <c r="B12" s="142" t="s">
        <v>316</v>
      </c>
      <c r="C12" s="248">
        <v>27</v>
      </c>
      <c r="D12" s="251">
        <v>6.56</v>
      </c>
      <c r="E12" s="251">
        <f t="shared" si="0"/>
        <v>177.11999999999998</v>
      </c>
      <c r="F12" s="266" t="s">
        <v>328</v>
      </c>
      <c r="I12" s="262" t="s">
        <v>329</v>
      </c>
      <c r="J12" s="4"/>
    </row>
    <row r="13" spans="1:10" x14ac:dyDescent="0.2">
      <c r="A13" s="168">
        <v>11</v>
      </c>
      <c r="B13" s="142" t="s">
        <v>317</v>
      </c>
      <c r="C13" s="248">
        <v>46</v>
      </c>
      <c r="D13" s="251">
        <v>1.5</v>
      </c>
      <c r="E13" s="251">
        <f t="shared" si="0"/>
        <v>69</v>
      </c>
      <c r="F13" s="266" t="s">
        <v>331</v>
      </c>
      <c r="I13" s="262" t="s">
        <v>332</v>
      </c>
      <c r="J13" s="4"/>
    </row>
    <row r="14" spans="1:10" x14ac:dyDescent="0.2">
      <c r="A14" s="168">
        <v>12</v>
      </c>
      <c r="B14" s="142" t="s">
        <v>318</v>
      </c>
      <c r="C14" s="248">
        <v>1</v>
      </c>
      <c r="D14" s="251">
        <v>10.54</v>
      </c>
      <c r="E14" s="251">
        <f t="shared" si="0"/>
        <v>10.54</v>
      </c>
      <c r="F14" s="266" t="s">
        <v>327</v>
      </c>
      <c r="I14" s="262" t="s">
        <v>338</v>
      </c>
      <c r="J14" s="4"/>
    </row>
    <row r="15" spans="1:10" x14ac:dyDescent="0.2">
      <c r="A15" s="168">
        <v>13</v>
      </c>
      <c r="B15" s="142" t="s">
        <v>319</v>
      </c>
      <c r="C15" s="248">
        <v>1</v>
      </c>
      <c r="D15" s="251">
        <v>10.54</v>
      </c>
      <c r="E15" s="251">
        <f t="shared" si="0"/>
        <v>10.54</v>
      </c>
      <c r="F15" s="266" t="s">
        <v>327</v>
      </c>
      <c r="I15" s="262" t="s">
        <v>337</v>
      </c>
      <c r="J15" s="4"/>
    </row>
    <row r="16" spans="1:10" x14ac:dyDescent="0.2">
      <c r="A16" s="168">
        <v>14</v>
      </c>
      <c r="B16" s="142" t="s">
        <v>320</v>
      </c>
      <c r="C16" s="248">
        <v>1</v>
      </c>
      <c r="D16" s="251">
        <v>18.59</v>
      </c>
      <c r="E16" s="251">
        <f t="shared" si="0"/>
        <v>18.59</v>
      </c>
      <c r="F16" s="266" t="s">
        <v>327</v>
      </c>
      <c r="I16" s="262" t="s">
        <v>336</v>
      </c>
      <c r="J16" s="4"/>
    </row>
    <row r="17" spans="1:10" x14ac:dyDescent="0.2">
      <c r="A17" s="168">
        <v>15</v>
      </c>
      <c r="B17" s="142" t="s">
        <v>321</v>
      </c>
      <c r="C17" s="248">
        <v>1</v>
      </c>
      <c r="D17" s="251">
        <v>18.579999999999998</v>
      </c>
      <c r="E17" s="251">
        <f t="shared" si="0"/>
        <v>18.579999999999998</v>
      </c>
      <c r="F17" s="266" t="s">
        <v>327</v>
      </c>
      <c r="I17" s="262" t="s">
        <v>335</v>
      </c>
      <c r="J17" s="4"/>
    </row>
    <row r="18" spans="1:10" x14ac:dyDescent="0.2">
      <c r="A18" s="168">
        <v>16</v>
      </c>
      <c r="B18" s="142" t="s">
        <v>322</v>
      </c>
      <c r="C18" s="248">
        <v>1</v>
      </c>
      <c r="D18" s="251">
        <v>20.49</v>
      </c>
      <c r="E18" s="251">
        <f t="shared" si="0"/>
        <v>20.49</v>
      </c>
      <c r="F18" s="266" t="s">
        <v>327</v>
      </c>
      <c r="I18" s="263" t="s">
        <v>334</v>
      </c>
      <c r="J18" s="4"/>
    </row>
    <row r="19" spans="1:10" x14ac:dyDescent="0.2">
      <c r="A19" s="168">
        <v>17</v>
      </c>
      <c r="B19" s="142" t="s">
        <v>323</v>
      </c>
      <c r="C19" s="248">
        <v>1</v>
      </c>
      <c r="D19" s="251">
        <v>19.34</v>
      </c>
      <c r="E19" s="251">
        <f t="shared" si="0"/>
        <v>19.34</v>
      </c>
      <c r="F19" s="266" t="s">
        <v>327</v>
      </c>
      <c r="H19" s="258"/>
      <c r="I19" s="257" t="s">
        <v>333</v>
      </c>
      <c r="J19" s="4"/>
    </row>
    <row r="20" spans="1:10" x14ac:dyDescent="0.2">
      <c r="A20" s="168">
        <v>18</v>
      </c>
      <c r="B20" s="4"/>
      <c r="C20" s="248"/>
      <c r="D20" s="251"/>
      <c r="E20" s="251">
        <f t="shared" si="0"/>
        <v>0</v>
      </c>
      <c r="F20" s="195"/>
      <c r="H20" s="258"/>
      <c r="I20" s="257"/>
      <c r="J20" s="4"/>
    </row>
    <row r="21" spans="1:10" x14ac:dyDescent="0.2">
      <c r="A21" s="168">
        <v>19</v>
      </c>
      <c r="B21" s="4"/>
      <c r="C21" s="248"/>
      <c r="D21" s="251"/>
      <c r="E21" s="251">
        <f t="shared" si="0"/>
        <v>0</v>
      </c>
      <c r="F21" s="195"/>
      <c r="H21" s="258"/>
      <c r="I21" s="257"/>
      <c r="J21" s="4"/>
    </row>
    <row r="22" spans="1:10" x14ac:dyDescent="0.2">
      <c r="A22" s="168">
        <v>20</v>
      </c>
      <c r="B22" s="4"/>
      <c r="C22" s="248"/>
      <c r="D22" s="251"/>
      <c r="E22" s="251">
        <f t="shared" si="0"/>
        <v>0</v>
      </c>
      <c r="F22" s="195"/>
      <c r="H22" s="258"/>
      <c r="I22" s="257"/>
      <c r="J22" s="4"/>
    </row>
    <row r="23" spans="1:10" x14ac:dyDescent="0.2">
      <c r="A23" s="169">
        <v>21</v>
      </c>
      <c r="C23" s="248"/>
      <c r="D23" s="251"/>
      <c r="E23" s="251">
        <f t="shared" si="0"/>
        <v>0</v>
      </c>
      <c r="F23" s="195"/>
      <c r="H23" s="258"/>
      <c r="I23" s="259"/>
      <c r="J23" s="4"/>
    </row>
    <row r="24" spans="1:10" x14ac:dyDescent="0.2">
      <c r="A24" s="171"/>
      <c r="B24" s="172"/>
      <c r="C24" s="249"/>
      <c r="D24" s="174"/>
      <c r="E24" s="252">
        <f t="shared" si="0"/>
        <v>0</v>
      </c>
      <c r="F24" s="197"/>
      <c r="G24" s="172"/>
      <c r="H24" s="265"/>
      <c r="I24" s="264"/>
      <c r="J24" s="4"/>
    </row>
    <row r="25" spans="1:10" x14ac:dyDescent="0.2">
      <c r="C25" s="164"/>
      <c r="D25" s="165"/>
      <c r="E25" s="165"/>
      <c r="F25" s="195"/>
      <c r="I25" s="4"/>
      <c r="J25" s="4"/>
    </row>
    <row r="26" spans="1:10" x14ac:dyDescent="0.2">
      <c r="C26" s="164"/>
      <c r="D26" s="165"/>
      <c r="E26" s="165"/>
      <c r="F26" s="195"/>
      <c r="I26" s="4"/>
      <c r="J26" s="4"/>
    </row>
    <row r="27" spans="1:10" x14ac:dyDescent="0.2">
      <c r="C27" s="164"/>
      <c r="D27" s="165"/>
      <c r="E27" s="165"/>
      <c r="F27" s="195"/>
      <c r="I27" s="4"/>
      <c r="J27" s="4"/>
    </row>
    <row r="28" spans="1:10" x14ac:dyDescent="0.2">
      <c r="A28" s="241"/>
      <c r="B28" s="242" t="s">
        <v>306</v>
      </c>
      <c r="C28" s="243"/>
      <c r="D28" s="244"/>
      <c r="E28" s="244"/>
      <c r="F28" s="245"/>
      <c r="G28" s="241"/>
      <c r="H28" s="241"/>
      <c r="I28" s="246"/>
      <c r="J28" s="4"/>
    </row>
    <row r="29" spans="1:10" x14ac:dyDescent="0.2">
      <c r="A29" s="176"/>
      <c r="B29" s="177" t="s">
        <v>258</v>
      </c>
      <c r="C29" s="177" t="s">
        <v>259</v>
      </c>
      <c r="D29" s="177" t="s">
        <v>260</v>
      </c>
      <c r="E29" s="177" t="s">
        <v>261</v>
      </c>
      <c r="F29" s="198" t="s">
        <v>305</v>
      </c>
      <c r="G29" s="179" t="s">
        <v>257</v>
      </c>
      <c r="H29" s="180">
        <f>SUM(E30:E50)</f>
        <v>0</v>
      </c>
      <c r="I29" s="247" t="s">
        <v>307</v>
      </c>
      <c r="J29" s="4"/>
    </row>
    <row r="30" spans="1:10" x14ac:dyDescent="0.2">
      <c r="A30" s="168">
        <v>1</v>
      </c>
      <c r="B30" s="142" t="s">
        <v>347</v>
      </c>
      <c r="C30" s="238">
        <v>2</v>
      </c>
      <c r="D30" s="240">
        <v>0</v>
      </c>
      <c r="E30" s="165">
        <f t="shared" ref="E30:E50" si="1">C30*D30</f>
        <v>0</v>
      </c>
      <c r="F30" s="266" t="s">
        <v>328</v>
      </c>
      <c r="I30" s="254" t="s">
        <v>354</v>
      </c>
      <c r="J30" s="4"/>
    </row>
    <row r="31" spans="1:10" x14ac:dyDescent="0.2">
      <c r="A31" s="168">
        <v>2</v>
      </c>
      <c r="B31" s="142" t="s">
        <v>343</v>
      </c>
      <c r="C31" s="238">
        <v>1</v>
      </c>
      <c r="D31" s="165">
        <v>0</v>
      </c>
      <c r="E31" s="165">
        <f t="shared" si="1"/>
        <v>0</v>
      </c>
      <c r="F31" s="266" t="s">
        <v>345</v>
      </c>
      <c r="I31" s="254" t="s">
        <v>354</v>
      </c>
      <c r="J31" s="4"/>
    </row>
    <row r="32" spans="1:10" x14ac:dyDescent="0.2">
      <c r="A32" s="168">
        <v>3</v>
      </c>
      <c r="B32" s="142" t="s">
        <v>346</v>
      </c>
      <c r="C32" s="238">
        <v>1</v>
      </c>
      <c r="D32" s="165">
        <v>0</v>
      </c>
      <c r="E32" s="165">
        <f t="shared" si="1"/>
        <v>0</v>
      </c>
      <c r="F32" s="266" t="s">
        <v>328</v>
      </c>
      <c r="I32" s="254" t="s">
        <v>354</v>
      </c>
      <c r="J32" s="4"/>
    </row>
    <row r="33" spans="1:10" x14ac:dyDescent="0.2">
      <c r="A33" s="168">
        <v>4</v>
      </c>
      <c r="B33" s="142" t="s">
        <v>348</v>
      </c>
      <c r="C33" s="238">
        <v>2</v>
      </c>
      <c r="D33" s="165">
        <v>0</v>
      </c>
      <c r="E33" s="165">
        <f t="shared" si="1"/>
        <v>0</v>
      </c>
      <c r="F33" s="266" t="s">
        <v>328</v>
      </c>
      <c r="I33" s="254" t="s">
        <v>354</v>
      </c>
      <c r="J33" s="4"/>
    </row>
    <row r="34" spans="1:10" x14ac:dyDescent="0.2">
      <c r="A34" s="168">
        <v>6</v>
      </c>
      <c r="B34" s="142" t="s">
        <v>349</v>
      </c>
      <c r="C34" s="238">
        <v>1</v>
      </c>
      <c r="D34" s="165">
        <v>0</v>
      </c>
      <c r="E34" s="165">
        <f t="shared" si="1"/>
        <v>0</v>
      </c>
      <c r="F34" s="266" t="s">
        <v>344</v>
      </c>
      <c r="I34" s="254" t="s">
        <v>354</v>
      </c>
      <c r="J34" s="4"/>
    </row>
    <row r="35" spans="1:10" x14ac:dyDescent="0.2">
      <c r="A35" s="168">
        <v>7</v>
      </c>
      <c r="B35" s="142" t="s">
        <v>350</v>
      </c>
      <c r="C35" s="238">
        <v>1</v>
      </c>
      <c r="D35" s="165">
        <v>0</v>
      </c>
      <c r="E35" s="165">
        <f t="shared" si="1"/>
        <v>0</v>
      </c>
      <c r="F35" s="266" t="s">
        <v>344</v>
      </c>
      <c r="I35" s="254" t="s">
        <v>354</v>
      </c>
      <c r="J35" s="4"/>
    </row>
    <row r="36" spans="1:10" x14ac:dyDescent="0.2">
      <c r="A36" s="168">
        <v>8</v>
      </c>
      <c r="B36" s="142" t="s">
        <v>351</v>
      </c>
      <c r="C36" s="238">
        <v>1</v>
      </c>
      <c r="D36" s="165">
        <v>0</v>
      </c>
      <c r="E36" s="165">
        <f t="shared" si="1"/>
        <v>0</v>
      </c>
      <c r="F36" s="266" t="s">
        <v>353</v>
      </c>
      <c r="I36" s="254" t="s">
        <v>354</v>
      </c>
      <c r="J36" s="4"/>
    </row>
    <row r="37" spans="1:10" x14ac:dyDescent="0.2">
      <c r="A37" s="168">
        <v>9</v>
      </c>
      <c r="B37" s="142" t="s">
        <v>352</v>
      </c>
      <c r="C37" s="238">
        <v>1</v>
      </c>
      <c r="D37" s="165">
        <v>0</v>
      </c>
      <c r="E37" s="165">
        <f t="shared" si="1"/>
        <v>0</v>
      </c>
      <c r="F37" s="266" t="s">
        <v>353</v>
      </c>
      <c r="I37" s="254" t="s">
        <v>354</v>
      </c>
      <c r="J37" s="4"/>
    </row>
    <row r="38" spans="1:10" x14ac:dyDescent="0.2">
      <c r="A38" s="168">
        <v>10</v>
      </c>
      <c r="B38" s="4" t="s">
        <v>356</v>
      </c>
      <c r="C38" s="238">
        <v>1</v>
      </c>
      <c r="D38" s="165">
        <v>0</v>
      </c>
      <c r="E38" s="165">
        <f t="shared" si="1"/>
        <v>0</v>
      </c>
      <c r="F38" s="195" t="s">
        <v>328</v>
      </c>
      <c r="I38" s="254" t="s">
        <v>354</v>
      </c>
      <c r="J38" s="4"/>
    </row>
    <row r="39" spans="1:10" x14ac:dyDescent="0.2">
      <c r="A39" s="168">
        <v>11</v>
      </c>
      <c r="B39" s="4" t="s">
        <v>355</v>
      </c>
      <c r="C39" s="238">
        <v>1</v>
      </c>
      <c r="D39" s="165">
        <v>0</v>
      </c>
      <c r="E39" s="165">
        <f t="shared" si="1"/>
        <v>0</v>
      </c>
      <c r="F39" s="195" t="s">
        <v>353</v>
      </c>
      <c r="I39" s="254" t="s">
        <v>354</v>
      </c>
      <c r="J39" s="4"/>
    </row>
    <row r="40" spans="1:10" x14ac:dyDescent="0.2">
      <c r="A40" s="168">
        <v>12</v>
      </c>
      <c r="B40" s="4"/>
      <c r="C40" s="238"/>
      <c r="D40" s="165">
        <v>0</v>
      </c>
      <c r="E40" s="165">
        <f t="shared" si="1"/>
        <v>0</v>
      </c>
      <c r="F40" s="195"/>
      <c r="I40" s="254"/>
      <c r="J40" s="4"/>
    </row>
    <row r="41" spans="1:10" x14ac:dyDescent="0.2">
      <c r="A41" s="168">
        <v>13</v>
      </c>
      <c r="B41" s="4"/>
      <c r="C41" s="238"/>
      <c r="D41" s="165">
        <v>0</v>
      </c>
      <c r="E41" s="165">
        <f t="shared" si="1"/>
        <v>0</v>
      </c>
      <c r="F41" s="195"/>
      <c r="I41" s="254"/>
      <c r="J41" s="4"/>
    </row>
    <row r="42" spans="1:10" x14ac:dyDescent="0.2">
      <c r="A42" s="168">
        <v>14</v>
      </c>
      <c r="B42" s="4"/>
      <c r="C42" s="238"/>
      <c r="D42" s="165">
        <v>0</v>
      </c>
      <c r="E42" s="165">
        <f t="shared" si="1"/>
        <v>0</v>
      </c>
      <c r="F42" s="195"/>
      <c r="I42" s="254"/>
      <c r="J42" s="4"/>
    </row>
    <row r="43" spans="1:10" x14ac:dyDescent="0.2">
      <c r="A43" s="168">
        <v>15</v>
      </c>
      <c r="B43" s="4"/>
      <c r="C43" s="238"/>
      <c r="D43" s="165">
        <v>0</v>
      </c>
      <c r="E43" s="165">
        <f t="shared" si="1"/>
        <v>0</v>
      </c>
      <c r="F43" s="195"/>
      <c r="I43" s="254"/>
      <c r="J43" s="4"/>
    </row>
    <row r="44" spans="1:10" x14ac:dyDescent="0.2">
      <c r="A44" s="168">
        <v>16</v>
      </c>
      <c r="B44" s="4"/>
      <c r="C44" s="238"/>
      <c r="D44" s="165">
        <v>0</v>
      </c>
      <c r="E44" s="165">
        <f t="shared" si="1"/>
        <v>0</v>
      </c>
      <c r="F44" s="195"/>
      <c r="I44" s="254"/>
      <c r="J44" s="4"/>
    </row>
    <row r="45" spans="1:10" x14ac:dyDescent="0.2">
      <c r="A45" s="168">
        <v>17</v>
      </c>
      <c r="B45" s="4"/>
      <c r="C45" s="238"/>
      <c r="D45" s="165">
        <v>0</v>
      </c>
      <c r="E45" s="165">
        <f t="shared" si="1"/>
        <v>0</v>
      </c>
      <c r="F45" s="195"/>
      <c r="I45" s="254"/>
      <c r="J45" s="4"/>
    </row>
    <row r="46" spans="1:10" x14ac:dyDescent="0.2">
      <c r="A46" s="168">
        <v>18</v>
      </c>
      <c r="B46" s="4"/>
      <c r="C46" s="238"/>
      <c r="D46" s="165">
        <v>0</v>
      </c>
      <c r="E46" s="165">
        <f t="shared" si="1"/>
        <v>0</v>
      </c>
      <c r="F46" s="195"/>
      <c r="I46" s="254"/>
      <c r="J46" s="4"/>
    </row>
    <row r="47" spans="1:10" x14ac:dyDescent="0.2">
      <c r="A47" s="168">
        <v>19</v>
      </c>
      <c r="B47" s="4"/>
      <c r="C47" s="238"/>
      <c r="D47" s="165">
        <v>0</v>
      </c>
      <c r="E47" s="165">
        <f t="shared" si="1"/>
        <v>0</v>
      </c>
      <c r="F47" s="195"/>
      <c r="I47" s="254"/>
      <c r="J47" s="4"/>
    </row>
    <row r="48" spans="1:10" x14ac:dyDescent="0.2">
      <c r="A48" s="168">
        <v>20</v>
      </c>
      <c r="B48" s="4"/>
      <c r="C48" s="238"/>
      <c r="D48" s="165">
        <v>0</v>
      </c>
      <c r="E48" s="165">
        <f t="shared" si="1"/>
        <v>0</v>
      </c>
      <c r="F48" s="195"/>
      <c r="I48" s="254"/>
      <c r="J48" s="4"/>
    </row>
    <row r="49" spans="1:10" x14ac:dyDescent="0.2">
      <c r="A49" s="169">
        <v>21</v>
      </c>
      <c r="C49" s="238"/>
      <c r="D49" s="165">
        <v>0</v>
      </c>
      <c r="E49" s="165">
        <f t="shared" si="1"/>
        <v>0</v>
      </c>
      <c r="F49" s="195"/>
      <c r="I49" s="255"/>
      <c r="J49" s="4"/>
    </row>
    <row r="50" spans="1:10" x14ac:dyDescent="0.2">
      <c r="A50" s="171"/>
      <c r="B50" s="172"/>
      <c r="C50" s="239"/>
      <c r="D50" s="174">
        <v>0</v>
      </c>
      <c r="E50" s="174">
        <f t="shared" si="1"/>
        <v>0</v>
      </c>
      <c r="F50" s="197"/>
      <c r="G50" s="172"/>
      <c r="H50" s="172"/>
      <c r="I50" s="256"/>
      <c r="J50" s="4"/>
    </row>
    <row r="51" spans="1:10" x14ac:dyDescent="0.2">
      <c r="C51" s="164"/>
      <c r="D51" s="165"/>
      <c r="E51" s="165"/>
      <c r="F51" s="195"/>
      <c r="I51" s="4"/>
      <c r="J51" s="4"/>
    </row>
    <row r="52" spans="1:10" x14ac:dyDescent="0.2">
      <c r="C52" s="164"/>
      <c r="D52" s="165"/>
      <c r="E52" s="165"/>
      <c r="F52" s="195"/>
      <c r="I52" s="4"/>
      <c r="J52" s="4"/>
    </row>
    <row r="53" spans="1:10" x14ac:dyDescent="0.2">
      <c r="C53" s="164"/>
      <c r="D53" s="165"/>
      <c r="E53" s="165"/>
      <c r="F53" s="195"/>
      <c r="I53" s="4"/>
      <c r="J53" s="4"/>
    </row>
    <row r="54" spans="1:10" x14ac:dyDescent="0.2">
      <c r="C54" s="164"/>
      <c r="D54" s="165"/>
      <c r="E54" s="165"/>
      <c r="F54" s="195"/>
      <c r="I54" s="4"/>
      <c r="J54" s="4"/>
    </row>
    <row r="55" spans="1:10" x14ac:dyDescent="0.2">
      <c r="C55" s="164"/>
      <c r="D55" s="165"/>
      <c r="E55" s="165"/>
      <c r="F55" s="195"/>
      <c r="I55" s="4"/>
      <c r="J55" s="4"/>
    </row>
    <row r="56" spans="1:10" x14ac:dyDescent="0.2">
      <c r="C56" s="164"/>
      <c r="D56" s="165"/>
      <c r="E56" s="165"/>
      <c r="F56" s="195"/>
      <c r="I56" s="4"/>
      <c r="J56" s="4"/>
    </row>
    <row r="57" spans="1:10" x14ac:dyDescent="0.2">
      <c r="C57" s="164"/>
      <c r="D57" s="165"/>
      <c r="E57" s="165"/>
      <c r="F57" s="195"/>
      <c r="I57" s="4"/>
      <c r="J57" s="4"/>
    </row>
    <row r="58" spans="1:10" x14ac:dyDescent="0.2">
      <c r="C58" s="164"/>
      <c r="D58" s="165"/>
      <c r="E58" s="165"/>
      <c r="F58" s="195"/>
      <c r="I58" s="4"/>
      <c r="J58" s="4"/>
    </row>
    <row r="59" spans="1:10" x14ac:dyDescent="0.2">
      <c r="C59" s="164"/>
      <c r="D59" s="165"/>
      <c r="E59" s="165"/>
      <c r="F59" s="195"/>
      <c r="I59" s="4"/>
      <c r="J59" s="4"/>
    </row>
    <row r="60" spans="1:10" x14ac:dyDescent="0.2">
      <c r="C60" s="164"/>
      <c r="D60" s="165"/>
      <c r="E60" s="165"/>
      <c r="F60" s="195"/>
      <c r="I60" s="4"/>
      <c r="J60" s="4"/>
    </row>
    <row r="61" spans="1:10" x14ac:dyDescent="0.2">
      <c r="C61" s="164"/>
      <c r="D61" s="165"/>
      <c r="E61" s="165"/>
      <c r="F61" s="195"/>
      <c r="I61" s="4"/>
      <c r="J61" s="4"/>
    </row>
    <row r="62" spans="1:10" x14ac:dyDescent="0.2">
      <c r="C62" s="164"/>
      <c r="D62" s="165"/>
      <c r="E62" s="165"/>
      <c r="F62" s="195"/>
      <c r="I62" s="4"/>
      <c r="J62" s="4"/>
    </row>
    <row r="63" spans="1:10" x14ac:dyDescent="0.2">
      <c r="C63" s="164"/>
      <c r="D63" s="165"/>
      <c r="E63" s="165"/>
      <c r="F63" s="195"/>
      <c r="I63" s="4"/>
      <c r="J63" s="4"/>
    </row>
    <row r="64" spans="1:10" x14ac:dyDescent="0.2">
      <c r="C64" s="164"/>
      <c r="D64" s="165"/>
      <c r="E64" s="165"/>
      <c r="F64" s="195"/>
      <c r="I64" s="4"/>
      <c r="J64" s="4"/>
    </row>
    <row r="65" spans="3:10" x14ac:dyDescent="0.2">
      <c r="C65" s="164"/>
      <c r="D65" s="165"/>
      <c r="E65" s="165"/>
      <c r="F65" s="195"/>
      <c r="I65" s="4"/>
      <c r="J65" s="4"/>
    </row>
    <row r="66" spans="3:10" x14ac:dyDescent="0.2">
      <c r="C66" s="164"/>
      <c r="D66" s="165"/>
      <c r="E66" s="165"/>
      <c r="F66" s="195"/>
      <c r="I66" s="4"/>
      <c r="J66" s="4"/>
    </row>
    <row r="67" spans="3:10" x14ac:dyDescent="0.2">
      <c r="C67" s="164"/>
      <c r="D67" s="165"/>
      <c r="E67" s="165"/>
      <c r="F67" s="195"/>
      <c r="I67" s="4"/>
      <c r="J67" s="4"/>
    </row>
    <row r="68" spans="3:10" x14ac:dyDescent="0.2">
      <c r="C68" s="164"/>
      <c r="D68" s="165"/>
      <c r="E68" s="165"/>
      <c r="F68" s="195"/>
      <c r="I68" s="4"/>
      <c r="J68" s="4"/>
    </row>
    <row r="69" spans="3:10" x14ac:dyDescent="0.2">
      <c r="C69" s="164"/>
      <c r="D69" s="165"/>
      <c r="E69" s="165"/>
      <c r="F69" s="195"/>
      <c r="I69" s="4"/>
      <c r="J69" s="4"/>
    </row>
    <row r="70" spans="3:10" x14ac:dyDescent="0.2">
      <c r="C70" s="164"/>
      <c r="D70" s="165"/>
      <c r="E70" s="165"/>
      <c r="F70" s="195"/>
      <c r="I70" s="4"/>
      <c r="J70" s="4"/>
    </row>
    <row r="71" spans="3:10" x14ac:dyDescent="0.2">
      <c r="C71" s="164"/>
      <c r="D71" s="165"/>
      <c r="E71" s="165"/>
      <c r="F71" s="195"/>
      <c r="I71" s="4"/>
      <c r="J71" s="4"/>
    </row>
    <row r="72" spans="3:10" x14ac:dyDescent="0.2">
      <c r="C72" s="164"/>
      <c r="D72" s="165"/>
      <c r="E72" s="165"/>
      <c r="F72" s="195"/>
      <c r="I72" s="4"/>
      <c r="J72" s="4"/>
    </row>
    <row r="73" spans="3:10" x14ac:dyDescent="0.2">
      <c r="C73" s="164"/>
      <c r="D73" s="165"/>
      <c r="E73" s="165"/>
      <c r="F73" s="195"/>
      <c r="I73" s="4"/>
      <c r="J73" s="4"/>
    </row>
    <row r="74" spans="3:10" x14ac:dyDescent="0.2">
      <c r="C74" s="164"/>
      <c r="D74" s="165"/>
      <c r="E74" s="165"/>
      <c r="F74" s="195"/>
      <c r="I74" s="4"/>
      <c r="J74" s="4"/>
    </row>
    <row r="75" spans="3:10" x14ac:dyDescent="0.2">
      <c r="C75" s="164"/>
      <c r="D75" s="165"/>
      <c r="E75" s="165"/>
      <c r="F75" s="195"/>
      <c r="I75" s="4"/>
      <c r="J75" s="4"/>
    </row>
    <row r="76" spans="3:10" x14ac:dyDescent="0.2">
      <c r="C76" s="164"/>
      <c r="D76" s="165"/>
      <c r="E76" s="165"/>
      <c r="F76" s="195"/>
      <c r="I76" s="4"/>
      <c r="J76" s="4"/>
    </row>
    <row r="77" spans="3:10" x14ac:dyDescent="0.2">
      <c r="C77" s="164"/>
      <c r="D77" s="165"/>
      <c r="E77" s="165"/>
      <c r="F77" s="195"/>
      <c r="I77" s="4"/>
      <c r="J77" s="4"/>
    </row>
    <row r="78" spans="3:10" x14ac:dyDescent="0.2">
      <c r="C78" s="164"/>
      <c r="D78" s="165"/>
      <c r="E78" s="165"/>
      <c r="F78" s="195"/>
      <c r="I78" s="4"/>
      <c r="J78" s="4"/>
    </row>
    <row r="79" spans="3:10" x14ac:dyDescent="0.2">
      <c r="C79" s="164"/>
      <c r="D79" s="165"/>
      <c r="E79" s="165"/>
      <c r="F79" s="195"/>
      <c r="I79" s="4"/>
      <c r="J79" s="4"/>
    </row>
    <row r="80" spans="3:10" x14ac:dyDescent="0.2">
      <c r="C80" s="164"/>
      <c r="D80" s="165"/>
      <c r="E80" s="165"/>
      <c r="F80" s="195"/>
      <c r="I80" s="4"/>
      <c r="J80" s="4"/>
    </row>
    <row r="81" spans="3:10" x14ac:dyDescent="0.2">
      <c r="C81" s="164"/>
      <c r="D81" s="165"/>
      <c r="E81" s="165"/>
      <c r="F81" s="195"/>
      <c r="I81" s="4"/>
      <c r="J81" s="4"/>
    </row>
    <row r="82" spans="3:10" x14ac:dyDescent="0.2">
      <c r="C82" s="164"/>
      <c r="D82" s="165"/>
      <c r="E82" s="165"/>
      <c r="F82" s="195"/>
      <c r="I82" s="4"/>
      <c r="J82" s="4"/>
    </row>
    <row r="83" spans="3:10" x14ac:dyDescent="0.2">
      <c r="C83" s="164"/>
      <c r="D83" s="165"/>
      <c r="E83" s="165"/>
      <c r="F83" s="195"/>
      <c r="I83" s="4"/>
      <c r="J83" s="4"/>
    </row>
    <row r="84" spans="3:10" x14ac:dyDescent="0.2">
      <c r="C84" s="164"/>
      <c r="D84" s="165"/>
      <c r="E84" s="165"/>
      <c r="F84" s="195"/>
      <c r="I84" s="4"/>
      <c r="J84" s="4"/>
    </row>
    <row r="85" spans="3:10" x14ac:dyDescent="0.2">
      <c r="C85" s="164"/>
      <c r="D85" s="165"/>
      <c r="E85" s="165"/>
      <c r="F85" s="195"/>
      <c r="I85" s="4"/>
      <c r="J85" s="4"/>
    </row>
    <row r="86" spans="3:10" x14ac:dyDescent="0.2">
      <c r="C86" s="164"/>
      <c r="D86" s="165"/>
      <c r="E86" s="165"/>
      <c r="F86" s="195"/>
      <c r="I86" s="4"/>
      <c r="J86" s="4"/>
    </row>
    <row r="87" spans="3:10" x14ac:dyDescent="0.2">
      <c r="C87" s="164"/>
      <c r="D87" s="165"/>
      <c r="E87" s="165"/>
      <c r="F87" s="195"/>
      <c r="I87" s="4"/>
      <c r="J87" s="4"/>
    </row>
    <row r="88" spans="3:10" x14ac:dyDescent="0.2">
      <c r="C88" s="164"/>
      <c r="D88" s="165"/>
      <c r="E88" s="165"/>
      <c r="F88" s="195"/>
      <c r="I88" s="4"/>
      <c r="J88" s="4"/>
    </row>
    <row r="89" spans="3:10" x14ac:dyDescent="0.2">
      <c r="C89" s="164"/>
      <c r="D89" s="165"/>
      <c r="E89" s="165"/>
      <c r="F89" s="195"/>
      <c r="I89" s="4"/>
      <c r="J89" s="4"/>
    </row>
    <row r="90" spans="3:10" x14ac:dyDescent="0.2">
      <c r="C90" s="164"/>
      <c r="D90" s="165"/>
      <c r="E90" s="165"/>
      <c r="F90" s="195"/>
      <c r="I90" s="4"/>
      <c r="J90" s="4"/>
    </row>
    <row r="91" spans="3:10" x14ac:dyDescent="0.2">
      <c r="C91" s="164"/>
      <c r="D91" s="165"/>
      <c r="E91" s="165"/>
      <c r="F91" s="195"/>
      <c r="I91" s="4"/>
      <c r="J91" s="4"/>
    </row>
    <row r="92" spans="3:10" x14ac:dyDescent="0.2">
      <c r="C92" s="164"/>
      <c r="D92" s="165"/>
      <c r="E92" s="165"/>
      <c r="F92" s="195"/>
      <c r="I92" s="4"/>
      <c r="J92" s="4"/>
    </row>
    <row r="93" spans="3:10" x14ac:dyDescent="0.2">
      <c r="C93" s="164"/>
      <c r="D93" s="165"/>
      <c r="E93" s="165"/>
      <c r="F93" s="195"/>
      <c r="I93" s="4"/>
      <c r="J93" s="4"/>
    </row>
    <row r="94" spans="3:10" x14ac:dyDescent="0.2">
      <c r="C94" s="164"/>
      <c r="D94" s="165"/>
      <c r="E94" s="165"/>
      <c r="F94" s="195"/>
      <c r="I94" s="4"/>
      <c r="J94" s="4"/>
    </row>
    <row r="95" spans="3:10" x14ac:dyDescent="0.2">
      <c r="C95" s="164"/>
      <c r="D95" s="165"/>
      <c r="E95" s="165"/>
      <c r="F95" s="195"/>
      <c r="I95" s="4"/>
      <c r="J95" s="4"/>
    </row>
    <row r="96" spans="3:10" x14ac:dyDescent="0.2">
      <c r="C96" s="164"/>
      <c r="D96" s="165"/>
      <c r="E96" s="165"/>
      <c r="F96" s="195"/>
      <c r="I96" s="4"/>
      <c r="J96" s="4"/>
    </row>
    <row r="97" spans="3:10" x14ac:dyDescent="0.2">
      <c r="C97" s="164"/>
      <c r="D97" s="165"/>
      <c r="E97" s="165"/>
      <c r="F97" s="195"/>
      <c r="I97" s="4"/>
      <c r="J97" s="4"/>
    </row>
    <row r="98" spans="3:10" x14ac:dyDescent="0.2">
      <c r="C98" s="164"/>
      <c r="D98" s="165"/>
      <c r="E98" s="165"/>
      <c r="F98" s="195"/>
      <c r="I98" s="4"/>
      <c r="J98" s="4"/>
    </row>
    <row r="99" spans="3:10" x14ac:dyDescent="0.2">
      <c r="C99" s="164"/>
      <c r="D99" s="165"/>
      <c r="E99" s="165"/>
      <c r="F99" s="195"/>
      <c r="I99" s="4"/>
      <c r="J99" s="4"/>
    </row>
    <row r="100" spans="3:10" x14ac:dyDescent="0.2">
      <c r="C100" s="164"/>
      <c r="D100" s="165"/>
      <c r="E100" s="165"/>
      <c r="F100" s="195"/>
      <c r="I100" s="4"/>
      <c r="J100" s="4"/>
    </row>
    <row r="101" spans="3:10" x14ac:dyDescent="0.2">
      <c r="C101" s="164"/>
      <c r="D101" s="165"/>
      <c r="E101" s="165"/>
      <c r="F101" s="195"/>
      <c r="I101" s="4"/>
      <c r="J101" s="4"/>
    </row>
    <row r="102" spans="3:10" x14ac:dyDescent="0.2">
      <c r="C102" s="164"/>
      <c r="D102" s="165"/>
      <c r="E102" s="165"/>
      <c r="F102" s="195"/>
      <c r="I102" s="4"/>
      <c r="J102" s="4"/>
    </row>
    <row r="103" spans="3:10" x14ac:dyDescent="0.2">
      <c r="C103" s="164"/>
      <c r="D103" s="165"/>
      <c r="E103" s="165"/>
      <c r="F103" s="195"/>
      <c r="I103" s="4"/>
      <c r="J103" s="4"/>
    </row>
    <row r="104" spans="3:10" x14ac:dyDescent="0.2">
      <c r="C104" s="164"/>
      <c r="D104" s="165"/>
      <c r="E104" s="165"/>
      <c r="F104" s="195"/>
      <c r="I104" s="4"/>
      <c r="J104" s="4"/>
    </row>
    <row r="105" spans="3:10" x14ac:dyDescent="0.2">
      <c r="C105" s="164"/>
      <c r="D105" s="165"/>
      <c r="E105" s="165"/>
      <c r="F105" s="195"/>
      <c r="I105" s="4"/>
      <c r="J105" s="4"/>
    </row>
    <row r="106" spans="3:10" x14ac:dyDescent="0.2">
      <c r="C106" s="164"/>
      <c r="D106" s="165"/>
      <c r="E106" s="165"/>
      <c r="F106" s="195"/>
      <c r="I106" s="4"/>
      <c r="J106" s="4"/>
    </row>
    <row r="107" spans="3:10" x14ac:dyDescent="0.2">
      <c r="C107" s="164"/>
      <c r="D107" s="165"/>
      <c r="E107" s="165"/>
      <c r="F107" s="195"/>
      <c r="I107" s="4"/>
      <c r="J107" s="4"/>
    </row>
    <row r="108" spans="3:10" x14ac:dyDescent="0.2">
      <c r="C108" s="164"/>
      <c r="D108" s="165"/>
      <c r="E108" s="165"/>
      <c r="F108" s="195"/>
      <c r="I108" s="4"/>
      <c r="J108" s="4"/>
    </row>
    <row r="109" spans="3:10" x14ac:dyDescent="0.2">
      <c r="C109" s="164"/>
      <c r="D109" s="165"/>
      <c r="E109" s="165"/>
      <c r="F109" s="195"/>
      <c r="I109" s="4"/>
      <c r="J109" s="4"/>
    </row>
    <row r="110" spans="3:10" x14ac:dyDescent="0.2">
      <c r="C110" s="164"/>
      <c r="D110" s="165"/>
      <c r="E110" s="165"/>
      <c r="F110" s="195"/>
      <c r="I110" s="4"/>
      <c r="J110" s="4"/>
    </row>
    <row r="111" spans="3:10" x14ac:dyDescent="0.2">
      <c r="C111" s="164"/>
      <c r="D111" s="165"/>
      <c r="E111" s="165"/>
      <c r="F111" s="195"/>
      <c r="I111" s="4"/>
      <c r="J111" s="4"/>
    </row>
    <row r="112" spans="3:10" x14ac:dyDescent="0.2">
      <c r="C112" s="164"/>
      <c r="D112" s="165"/>
      <c r="E112" s="165"/>
      <c r="F112" s="195"/>
      <c r="I112" s="4"/>
      <c r="J112" s="4"/>
    </row>
    <row r="113" spans="3:10" x14ac:dyDescent="0.2">
      <c r="C113" s="164"/>
      <c r="D113" s="165"/>
      <c r="E113" s="165"/>
      <c r="F113" s="195"/>
      <c r="I113" s="4"/>
      <c r="J113" s="4"/>
    </row>
    <row r="114" spans="3:10" x14ac:dyDescent="0.2">
      <c r="C114" s="164"/>
      <c r="D114" s="165"/>
      <c r="E114" s="165"/>
      <c r="F114" s="195"/>
      <c r="I114" s="4"/>
      <c r="J114" s="4"/>
    </row>
    <row r="115" spans="3:10" x14ac:dyDescent="0.2">
      <c r="C115" s="164"/>
      <c r="D115" s="165"/>
      <c r="E115" s="165"/>
      <c r="F115" s="195"/>
      <c r="I115" s="4"/>
      <c r="J115" s="4"/>
    </row>
    <row r="116" spans="3:10" x14ac:dyDescent="0.2">
      <c r="C116" s="164"/>
      <c r="D116" s="165"/>
      <c r="E116" s="165"/>
      <c r="F116" s="195"/>
      <c r="I116" s="4"/>
      <c r="J116" s="4"/>
    </row>
    <row r="117" spans="3:10" x14ac:dyDescent="0.2">
      <c r="C117" s="164"/>
      <c r="D117" s="165"/>
      <c r="E117" s="165"/>
      <c r="F117" s="195"/>
      <c r="I117" s="4"/>
      <c r="J117" s="4"/>
    </row>
    <row r="118" spans="3:10" x14ac:dyDescent="0.2">
      <c r="C118" s="164"/>
      <c r="D118" s="165"/>
      <c r="E118" s="165"/>
      <c r="F118" s="195"/>
      <c r="I118" s="4"/>
      <c r="J118" s="4"/>
    </row>
    <row r="119" spans="3:10" x14ac:dyDescent="0.2">
      <c r="C119" s="164"/>
      <c r="D119" s="165"/>
      <c r="E119" s="165"/>
      <c r="F119" s="195"/>
      <c r="I119" s="4"/>
      <c r="J119" s="4"/>
    </row>
    <row r="120" spans="3:10" x14ac:dyDescent="0.2">
      <c r="C120" s="164"/>
      <c r="D120" s="165"/>
      <c r="E120" s="165"/>
      <c r="F120" s="195"/>
      <c r="I120" s="4"/>
      <c r="J120" s="4"/>
    </row>
    <row r="121" spans="3:10" x14ac:dyDescent="0.2">
      <c r="C121" s="164"/>
      <c r="D121" s="165"/>
      <c r="E121" s="165"/>
      <c r="F121" s="195"/>
      <c r="I121" s="4"/>
      <c r="J121" s="4"/>
    </row>
    <row r="122" spans="3:10" x14ac:dyDescent="0.2">
      <c r="C122" s="164"/>
      <c r="D122" s="165"/>
      <c r="E122" s="165"/>
      <c r="F122" s="195"/>
      <c r="I122" s="4"/>
      <c r="J122" s="4"/>
    </row>
    <row r="123" spans="3:10" x14ac:dyDescent="0.2">
      <c r="C123" s="164"/>
      <c r="D123" s="165"/>
      <c r="E123" s="165"/>
      <c r="F123" s="195"/>
      <c r="I123" s="4"/>
      <c r="J123" s="4"/>
    </row>
    <row r="124" spans="3:10" x14ac:dyDescent="0.2">
      <c r="C124" s="164"/>
      <c r="D124" s="165"/>
      <c r="E124" s="165"/>
      <c r="F124" s="195"/>
      <c r="I124" s="4"/>
      <c r="J124" s="4"/>
    </row>
    <row r="125" spans="3:10" x14ac:dyDescent="0.2">
      <c r="C125" s="164"/>
      <c r="D125" s="165"/>
      <c r="E125" s="165"/>
      <c r="F125" s="195"/>
      <c r="I125" s="4"/>
      <c r="J125" s="4"/>
    </row>
    <row r="126" spans="3:10" x14ac:dyDescent="0.2">
      <c r="C126" s="164"/>
      <c r="D126" s="165"/>
      <c r="E126" s="165"/>
      <c r="F126" s="195"/>
      <c r="I126" s="4"/>
      <c r="J126" s="4"/>
    </row>
    <row r="127" spans="3:10" x14ac:dyDescent="0.2">
      <c r="C127" s="164"/>
      <c r="D127" s="165"/>
      <c r="E127" s="165"/>
      <c r="F127" s="195"/>
      <c r="I127" s="4"/>
      <c r="J127" s="4"/>
    </row>
    <row r="128" spans="3:10" x14ac:dyDescent="0.2">
      <c r="C128" s="164"/>
      <c r="D128" s="165"/>
      <c r="E128" s="165"/>
      <c r="F128" s="195"/>
      <c r="I128" s="4"/>
      <c r="J128" s="4"/>
    </row>
    <row r="129" spans="3:10" x14ac:dyDescent="0.2">
      <c r="C129" s="164"/>
      <c r="D129" s="165"/>
      <c r="E129" s="165"/>
      <c r="F129" s="195"/>
      <c r="I129" s="4"/>
      <c r="J129" s="4"/>
    </row>
    <row r="130" spans="3:10" x14ac:dyDescent="0.2">
      <c r="C130" s="164"/>
      <c r="D130" s="165"/>
      <c r="E130" s="165"/>
      <c r="F130" s="195"/>
      <c r="I130" s="4"/>
      <c r="J130" s="4"/>
    </row>
    <row r="131" spans="3:10" x14ac:dyDescent="0.2">
      <c r="C131" s="164"/>
      <c r="D131" s="165"/>
      <c r="E131" s="165"/>
      <c r="F131" s="195"/>
      <c r="I131" s="4"/>
      <c r="J131" s="4"/>
    </row>
    <row r="132" spans="3:10" x14ac:dyDescent="0.2">
      <c r="C132" s="164"/>
      <c r="D132" s="165"/>
      <c r="E132" s="165"/>
      <c r="F132" s="195"/>
      <c r="I132" s="4"/>
      <c r="J132" s="4"/>
    </row>
    <row r="133" spans="3:10" x14ac:dyDescent="0.2">
      <c r="C133" s="164"/>
      <c r="D133" s="165"/>
      <c r="E133" s="165"/>
      <c r="F133" s="195"/>
      <c r="I133" s="4"/>
      <c r="J133" s="4"/>
    </row>
    <row r="134" spans="3:10" x14ac:dyDescent="0.2">
      <c r="C134" s="164"/>
      <c r="D134" s="165"/>
      <c r="E134" s="165"/>
      <c r="F134" s="195"/>
      <c r="I134" s="4"/>
      <c r="J134" s="4"/>
    </row>
    <row r="135" spans="3:10" x14ac:dyDescent="0.2">
      <c r="C135" s="164"/>
      <c r="D135" s="165"/>
      <c r="E135" s="165"/>
      <c r="F135" s="195"/>
      <c r="I135" s="4"/>
      <c r="J135" s="4"/>
    </row>
    <row r="136" spans="3:10" x14ac:dyDescent="0.2">
      <c r="C136" s="164"/>
      <c r="D136" s="165"/>
      <c r="E136" s="165"/>
      <c r="F136" s="195"/>
      <c r="I136" s="4"/>
      <c r="J136" s="4"/>
    </row>
    <row r="137" spans="3:10" x14ac:dyDescent="0.2">
      <c r="C137" s="164"/>
      <c r="D137" s="165"/>
      <c r="E137" s="165"/>
      <c r="F137" s="195"/>
      <c r="I137" s="4"/>
      <c r="J137" s="4"/>
    </row>
    <row r="138" spans="3:10" x14ac:dyDescent="0.2">
      <c r="C138" s="164"/>
      <c r="D138" s="165"/>
      <c r="E138" s="165"/>
      <c r="F138" s="195"/>
      <c r="I138" s="4"/>
      <c r="J138" s="4"/>
    </row>
    <row r="139" spans="3:10" x14ac:dyDescent="0.2">
      <c r="C139" s="164"/>
      <c r="D139" s="165"/>
      <c r="E139" s="165"/>
      <c r="F139" s="195"/>
      <c r="I139" s="4"/>
      <c r="J139" s="4"/>
    </row>
    <row r="140" spans="3:10" x14ac:dyDescent="0.2">
      <c r="C140" s="164"/>
      <c r="D140" s="165"/>
      <c r="E140" s="165"/>
      <c r="F140" s="195"/>
      <c r="I140" s="4"/>
      <c r="J140" s="4"/>
    </row>
    <row r="141" spans="3:10" x14ac:dyDescent="0.2">
      <c r="C141" s="164"/>
      <c r="D141" s="165"/>
      <c r="E141" s="165"/>
      <c r="F141" s="195"/>
      <c r="I141" s="4"/>
      <c r="J141" s="4"/>
    </row>
    <row r="142" spans="3:10" x14ac:dyDescent="0.2">
      <c r="C142" s="164"/>
      <c r="D142" s="165"/>
      <c r="E142" s="165"/>
      <c r="F142" s="195"/>
      <c r="I142" s="4"/>
      <c r="J142" s="4"/>
    </row>
    <row r="143" spans="3:10" x14ac:dyDescent="0.2">
      <c r="C143" s="164"/>
      <c r="D143" s="165"/>
      <c r="E143" s="165"/>
      <c r="F143" s="195"/>
      <c r="I143" s="4"/>
      <c r="J143" s="4"/>
    </row>
    <row r="144" spans="3:10" x14ac:dyDescent="0.2">
      <c r="C144" s="164"/>
      <c r="D144" s="165"/>
      <c r="E144" s="165"/>
      <c r="F144" s="195"/>
      <c r="I144" s="4"/>
      <c r="J144" s="4"/>
    </row>
    <row r="145" spans="3:10" x14ac:dyDescent="0.2">
      <c r="C145" s="164"/>
      <c r="D145" s="165"/>
      <c r="E145" s="165"/>
      <c r="F145" s="195"/>
      <c r="I145" s="4"/>
      <c r="J145" s="4"/>
    </row>
    <row r="146" spans="3:10" x14ac:dyDescent="0.2">
      <c r="C146" s="164"/>
      <c r="D146" s="165"/>
      <c r="E146" s="165"/>
      <c r="F146" s="195"/>
      <c r="I146" s="4"/>
      <c r="J146" s="4"/>
    </row>
    <row r="147" spans="3:10" x14ac:dyDescent="0.2">
      <c r="C147" s="164"/>
      <c r="D147" s="165"/>
      <c r="E147" s="165"/>
      <c r="F147" s="195"/>
      <c r="I147" s="4"/>
      <c r="J147" s="4"/>
    </row>
    <row r="148" spans="3:10" x14ac:dyDescent="0.2">
      <c r="C148" s="164"/>
      <c r="D148" s="165"/>
      <c r="E148" s="165"/>
      <c r="F148" s="195"/>
      <c r="I148" s="4"/>
      <c r="J148" s="4"/>
    </row>
    <row r="149" spans="3:10" x14ac:dyDescent="0.2">
      <c r="C149" s="164"/>
      <c r="D149" s="165"/>
      <c r="E149" s="165"/>
      <c r="F149" s="195"/>
      <c r="I149" s="4"/>
      <c r="J149" s="4"/>
    </row>
    <row r="150" spans="3:10" x14ac:dyDescent="0.2">
      <c r="C150" s="164"/>
      <c r="D150" s="165"/>
      <c r="E150" s="165"/>
      <c r="F150" s="195"/>
      <c r="I150" s="4"/>
      <c r="J150" s="4"/>
    </row>
    <row r="151" spans="3:10" x14ac:dyDescent="0.2">
      <c r="C151" s="164"/>
      <c r="D151" s="165"/>
      <c r="E151" s="165"/>
      <c r="F151" s="195"/>
      <c r="I151" s="4"/>
      <c r="J151" s="4"/>
    </row>
    <row r="152" spans="3:10" x14ac:dyDescent="0.2">
      <c r="C152" s="164"/>
      <c r="D152" s="165"/>
      <c r="E152" s="165"/>
      <c r="F152" s="195"/>
      <c r="I152" s="4"/>
      <c r="J152" s="4"/>
    </row>
    <row r="153" spans="3:10" x14ac:dyDescent="0.2">
      <c r="C153" s="164"/>
      <c r="D153" s="165"/>
      <c r="E153" s="165"/>
      <c r="F153" s="195"/>
      <c r="I153" s="4"/>
      <c r="J153" s="4"/>
    </row>
    <row r="154" spans="3:10" x14ac:dyDescent="0.2">
      <c r="C154" s="164"/>
      <c r="D154" s="165"/>
      <c r="E154" s="165"/>
      <c r="F154" s="195"/>
      <c r="I154" s="4"/>
      <c r="J154" s="4"/>
    </row>
    <row r="155" spans="3:10" x14ac:dyDescent="0.2">
      <c r="C155" s="164"/>
      <c r="D155" s="165"/>
      <c r="E155" s="165"/>
      <c r="F155" s="195"/>
      <c r="I155" s="4"/>
      <c r="J155" s="4"/>
    </row>
    <row r="156" spans="3:10" x14ac:dyDescent="0.2">
      <c r="C156" s="164"/>
      <c r="D156" s="165"/>
      <c r="E156" s="165"/>
      <c r="F156" s="195"/>
      <c r="I156" s="4"/>
      <c r="J156" s="4"/>
    </row>
    <row r="157" spans="3:10" x14ac:dyDescent="0.2">
      <c r="C157" s="164"/>
      <c r="D157" s="165"/>
      <c r="E157" s="165"/>
      <c r="F157" s="195"/>
      <c r="I157" s="4"/>
      <c r="J157" s="4"/>
    </row>
    <row r="158" spans="3:10" x14ac:dyDescent="0.2">
      <c r="C158" s="164"/>
      <c r="D158" s="165"/>
      <c r="E158" s="165"/>
      <c r="F158" s="195"/>
      <c r="I158" s="4"/>
      <c r="J158" s="4"/>
    </row>
    <row r="159" spans="3:10" x14ac:dyDescent="0.2">
      <c r="C159" s="164"/>
      <c r="D159" s="165"/>
      <c r="E159" s="165"/>
      <c r="F159" s="195"/>
      <c r="I159" s="4"/>
      <c r="J159" s="4"/>
    </row>
    <row r="160" spans="3:10" x14ac:dyDescent="0.2">
      <c r="C160" s="164"/>
      <c r="D160" s="165"/>
      <c r="E160" s="165"/>
      <c r="F160" s="195"/>
      <c r="I160" s="4"/>
      <c r="J160" s="4"/>
    </row>
    <row r="161" spans="3:10" x14ac:dyDescent="0.2">
      <c r="C161" s="164"/>
      <c r="D161" s="165"/>
      <c r="E161" s="165"/>
      <c r="F161" s="195"/>
      <c r="I161" s="4"/>
      <c r="J161" s="4"/>
    </row>
    <row r="162" spans="3:10" x14ac:dyDescent="0.2">
      <c r="C162" s="164"/>
      <c r="D162" s="165"/>
      <c r="E162" s="165"/>
      <c r="F162" s="195"/>
      <c r="I162" s="4"/>
      <c r="J162" s="4"/>
    </row>
    <row r="163" spans="3:10" x14ac:dyDescent="0.2">
      <c r="C163" s="164"/>
      <c r="D163" s="165"/>
      <c r="E163" s="165"/>
      <c r="F163" s="195"/>
      <c r="I163" s="4"/>
      <c r="J163" s="4"/>
    </row>
    <row r="164" spans="3:10" x14ac:dyDescent="0.2">
      <c r="C164" s="164"/>
      <c r="D164" s="165"/>
      <c r="E164" s="165"/>
      <c r="F164" s="195"/>
      <c r="I164" s="4"/>
      <c r="J164" s="4"/>
    </row>
    <row r="165" spans="3:10" x14ac:dyDescent="0.2">
      <c r="C165" s="164"/>
      <c r="D165" s="165"/>
      <c r="E165" s="165"/>
      <c r="F165" s="195"/>
      <c r="I165" s="4"/>
      <c r="J165" s="4"/>
    </row>
    <row r="166" spans="3:10" x14ac:dyDescent="0.2">
      <c r="C166" s="164"/>
      <c r="D166" s="165"/>
      <c r="E166" s="165"/>
      <c r="F166" s="195"/>
      <c r="I166" s="4"/>
      <c r="J166" s="4"/>
    </row>
    <row r="167" spans="3:10" x14ac:dyDescent="0.2">
      <c r="C167" s="164"/>
      <c r="D167" s="165"/>
      <c r="E167" s="165"/>
      <c r="F167" s="195"/>
      <c r="I167" s="4"/>
      <c r="J167" s="4"/>
    </row>
    <row r="168" spans="3:10" x14ac:dyDescent="0.2">
      <c r="C168" s="164"/>
      <c r="D168" s="165"/>
      <c r="E168" s="165"/>
      <c r="F168" s="195"/>
      <c r="I168" s="4"/>
      <c r="J168" s="4"/>
    </row>
    <row r="169" spans="3:10" x14ac:dyDescent="0.2">
      <c r="C169" s="164"/>
      <c r="D169" s="165"/>
      <c r="E169" s="165"/>
      <c r="F169" s="195"/>
      <c r="I169" s="4"/>
      <c r="J169" s="4"/>
    </row>
    <row r="170" spans="3:10" x14ac:dyDescent="0.2">
      <c r="C170" s="164"/>
      <c r="D170" s="165"/>
      <c r="E170" s="165"/>
      <c r="F170" s="195"/>
      <c r="I170" s="4"/>
      <c r="J170" s="4"/>
    </row>
    <row r="171" spans="3:10" x14ac:dyDescent="0.2">
      <c r="C171" s="164"/>
      <c r="D171" s="165"/>
      <c r="E171" s="165"/>
      <c r="F171" s="195"/>
      <c r="I171" s="4"/>
      <c r="J171" s="4"/>
    </row>
    <row r="172" spans="3:10" x14ac:dyDescent="0.2">
      <c r="C172" s="164"/>
      <c r="D172" s="165"/>
      <c r="E172" s="165"/>
      <c r="F172" s="195"/>
      <c r="I172" s="4"/>
      <c r="J172" s="4"/>
    </row>
    <row r="173" spans="3:10" x14ac:dyDescent="0.2">
      <c r="C173" s="164"/>
      <c r="D173" s="165"/>
      <c r="E173" s="165"/>
      <c r="F173" s="195"/>
      <c r="I173" s="4"/>
      <c r="J173" s="4"/>
    </row>
    <row r="174" spans="3:10" x14ac:dyDescent="0.2">
      <c r="C174" s="164"/>
      <c r="D174" s="165"/>
      <c r="E174" s="165"/>
      <c r="F174" s="195"/>
      <c r="I174" s="4"/>
      <c r="J174" s="4"/>
    </row>
    <row r="175" spans="3:10" x14ac:dyDescent="0.2">
      <c r="C175" s="164"/>
      <c r="D175" s="165"/>
      <c r="E175" s="165"/>
      <c r="F175" s="195"/>
      <c r="I175" s="4"/>
      <c r="J175" s="4"/>
    </row>
    <row r="176" spans="3:10" x14ac:dyDescent="0.2">
      <c r="C176" s="164"/>
      <c r="D176" s="165"/>
      <c r="E176" s="165"/>
      <c r="F176" s="195"/>
      <c r="I176" s="4"/>
      <c r="J176" s="4"/>
    </row>
    <row r="177" spans="3:10" x14ac:dyDescent="0.2">
      <c r="C177" s="164"/>
      <c r="D177" s="165"/>
      <c r="E177" s="165"/>
      <c r="F177" s="195"/>
      <c r="I177" s="4"/>
      <c r="J177" s="4"/>
    </row>
    <row r="178" spans="3:10" x14ac:dyDescent="0.2">
      <c r="C178" s="164"/>
      <c r="D178" s="165"/>
      <c r="E178" s="165"/>
      <c r="F178" s="195"/>
      <c r="I178" s="4"/>
      <c r="J178" s="4"/>
    </row>
    <row r="179" spans="3:10" x14ac:dyDescent="0.2">
      <c r="C179" s="164"/>
      <c r="D179" s="165"/>
      <c r="E179" s="165"/>
      <c r="F179" s="195"/>
      <c r="I179" s="4"/>
      <c r="J179" s="4"/>
    </row>
    <row r="180" spans="3:10" x14ac:dyDescent="0.2">
      <c r="C180" s="164"/>
      <c r="D180" s="165"/>
      <c r="E180" s="165"/>
      <c r="F180" s="195"/>
      <c r="I180" s="4"/>
      <c r="J180" s="4"/>
    </row>
    <row r="181" spans="3:10" x14ac:dyDescent="0.2">
      <c r="C181" s="164"/>
      <c r="D181" s="165"/>
      <c r="E181" s="165"/>
      <c r="F181" s="195"/>
      <c r="I181" s="4"/>
      <c r="J181" s="4"/>
    </row>
    <row r="182" spans="3:10" x14ac:dyDescent="0.2">
      <c r="C182" s="164"/>
      <c r="D182" s="165"/>
      <c r="E182" s="165"/>
      <c r="F182" s="195"/>
      <c r="I182" s="4"/>
      <c r="J182" s="4"/>
    </row>
    <row r="183" spans="3:10" x14ac:dyDescent="0.2">
      <c r="C183" s="164"/>
      <c r="D183" s="165"/>
      <c r="E183" s="165"/>
      <c r="F183" s="195"/>
      <c r="I183" s="4"/>
      <c r="J183" s="4"/>
    </row>
    <row r="184" spans="3:10" x14ac:dyDescent="0.2">
      <c r="C184" s="164"/>
      <c r="D184" s="165"/>
      <c r="E184" s="165"/>
      <c r="F184" s="195"/>
      <c r="I184" s="4"/>
      <c r="J184" s="4"/>
    </row>
    <row r="185" spans="3:10" x14ac:dyDescent="0.2">
      <c r="C185" s="164"/>
      <c r="D185" s="165"/>
      <c r="E185" s="165"/>
      <c r="F185" s="195"/>
      <c r="I185" s="4"/>
      <c r="J185" s="4"/>
    </row>
    <row r="186" spans="3:10" x14ac:dyDescent="0.2">
      <c r="C186" s="164"/>
      <c r="D186" s="165"/>
      <c r="E186" s="165"/>
      <c r="F186" s="195"/>
      <c r="I186" s="4"/>
      <c r="J186" s="4"/>
    </row>
    <row r="187" spans="3:10" x14ac:dyDescent="0.2">
      <c r="C187" s="164"/>
      <c r="D187" s="165"/>
      <c r="E187" s="165"/>
      <c r="F187" s="195"/>
      <c r="I187" s="4"/>
      <c r="J187" s="4"/>
    </row>
    <row r="188" spans="3:10" x14ac:dyDescent="0.2">
      <c r="C188" s="164"/>
      <c r="D188" s="165"/>
      <c r="E188" s="165"/>
      <c r="F188" s="195"/>
      <c r="I188" s="4"/>
      <c r="J188" s="4"/>
    </row>
    <row r="189" spans="3:10" x14ac:dyDescent="0.2">
      <c r="C189" s="164"/>
      <c r="D189" s="165"/>
      <c r="E189" s="165"/>
      <c r="F189" s="195"/>
      <c r="I189" s="4"/>
      <c r="J189" s="4"/>
    </row>
    <row r="190" spans="3:10" x14ac:dyDescent="0.2">
      <c r="C190" s="164"/>
      <c r="D190" s="165"/>
      <c r="E190" s="165"/>
      <c r="F190" s="195"/>
      <c r="I190" s="4"/>
      <c r="J190" s="4"/>
    </row>
    <row r="191" spans="3:10" x14ac:dyDescent="0.2">
      <c r="C191" s="164"/>
      <c r="D191" s="165"/>
      <c r="E191" s="165"/>
      <c r="F191" s="195"/>
      <c r="I191" s="4"/>
      <c r="J191" s="4"/>
    </row>
    <row r="192" spans="3:10" x14ac:dyDescent="0.2">
      <c r="C192" s="164"/>
      <c r="D192" s="165"/>
      <c r="E192" s="165"/>
      <c r="F192" s="195"/>
      <c r="I192" s="4"/>
      <c r="J192" s="4"/>
    </row>
    <row r="193" spans="3:10" x14ac:dyDescent="0.2">
      <c r="C193" s="164"/>
      <c r="D193" s="165"/>
      <c r="E193" s="165"/>
      <c r="F193" s="195"/>
      <c r="I193" s="4"/>
      <c r="J193" s="4"/>
    </row>
    <row r="194" spans="3:10" x14ac:dyDescent="0.2">
      <c r="C194" s="164"/>
      <c r="D194" s="165"/>
      <c r="E194" s="165"/>
      <c r="F194" s="195"/>
      <c r="I194" s="4"/>
      <c r="J194" s="4"/>
    </row>
    <row r="195" spans="3:10" x14ac:dyDescent="0.2">
      <c r="C195" s="164"/>
      <c r="D195" s="165"/>
      <c r="E195" s="165"/>
      <c r="F195" s="195"/>
      <c r="I195" s="4"/>
      <c r="J195" s="4"/>
    </row>
    <row r="196" spans="3:10" x14ac:dyDescent="0.2">
      <c r="C196" s="164"/>
      <c r="D196" s="165"/>
      <c r="E196" s="165"/>
      <c r="F196" s="195"/>
      <c r="I196" s="4"/>
      <c r="J196" s="4"/>
    </row>
    <row r="197" spans="3:10" x14ac:dyDescent="0.2">
      <c r="C197" s="164"/>
      <c r="D197" s="165"/>
      <c r="E197" s="165"/>
      <c r="F197" s="195"/>
      <c r="I197" s="4"/>
      <c r="J197" s="4"/>
    </row>
    <row r="198" spans="3:10" x14ac:dyDescent="0.2">
      <c r="C198" s="164"/>
      <c r="D198" s="165"/>
      <c r="E198" s="165"/>
      <c r="F198" s="195"/>
      <c r="I198" s="4"/>
      <c r="J198" s="4"/>
    </row>
    <row r="199" spans="3:10" x14ac:dyDescent="0.2">
      <c r="C199" s="164"/>
      <c r="D199" s="165"/>
      <c r="E199" s="165"/>
      <c r="F199" s="195"/>
      <c r="I199" s="4"/>
      <c r="J199" s="4"/>
    </row>
    <row r="200" spans="3:10" x14ac:dyDescent="0.2">
      <c r="C200" s="164"/>
      <c r="D200" s="165"/>
      <c r="E200" s="165"/>
      <c r="F200" s="195"/>
      <c r="I200" s="4"/>
      <c r="J200" s="4"/>
    </row>
    <row r="201" spans="3:10" x14ac:dyDescent="0.2">
      <c r="C201" s="164"/>
      <c r="D201" s="165"/>
      <c r="E201" s="165"/>
      <c r="F201" s="195"/>
      <c r="I201" s="4"/>
      <c r="J201" s="4"/>
    </row>
    <row r="202" spans="3:10" x14ac:dyDescent="0.2">
      <c r="C202" s="164"/>
      <c r="D202" s="165"/>
      <c r="E202" s="165"/>
      <c r="F202" s="195"/>
      <c r="I202" s="4"/>
      <c r="J202" s="4"/>
    </row>
    <row r="203" spans="3:10" x14ac:dyDescent="0.2">
      <c r="C203" s="164"/>
      <c r="D203" s="165"/>
      <c r="E203" s="165"/>
      <c r="F203" s="195"/>
      <c r="I203" s="4"/>
      <c r="J203" s="4"/>
    </row>
    <row r="204" spans="3:10" x14ac:dyDescent="0.2">
      <c r="C204" s="164"/>
      <c r="D204" s="165"/>
      <c r="E204" s="165"/>
      <c r="F204" s="195"/>
      <c r="I204" s="4"/>
      <c r="J204" s="4"/>
    </row>
    <row r="205" spans="3:10" x14ac:dyDescent="0.2">
      <c r="C205" s="164"/>
      <c r="D205" s="165"/>
      <c r="E205" s="165"/>
      <c r="F205" s="195"/>
      <c r="I205" s="4"/>
      <c r="J205" s="4"/>
    </row>
    <row r="206" spans="3:10" x14ac:dyDescent="0.2">
      <c r="C206" s="164"/>
      <c r="D206" s="165"/>
      <c r="E206" s="165"/>
      <c r="F206" s="195"/>
      <c r="I206" s="4"/>
      <c r="J206" s="4"/>
    </row>
    <row r="207" spans="3:10" x14ac:dyDescent="0.2">
      <c r="C207" s="164"/>
      <c r="D207" s="165"/>
      <c r="E207" s="165"/>
      <c r="F207" s="195"/>
      <c r="I207" s="4"/>
      <c r="J207" s="4"/>
    </row>
    <row r="208" spans="3:10" x14ac:dyDescent="0.2">
      <c r="C208" s="164"/>
      <c r="D208" s="165"/>
      <c r="E208" s="165"/>
      <c r="F208" s="195"/>
      <c r="I208" s="4"/>
      <c r="J208" s="4"/>
    </row>
    <row r="209" spans="3:10" x14ac:dyDescent="0.2">
      <c r="C209" s="164"/>
      <c r="D209" s="165"/>
      <c r="E209" s="165"/>
      <c r="F209" s="195"/>
      <c r="I209" s="4"/>
      <c r="J209" s="4"/>
    </row>
    <row r="210" spans="3:10" x14ac:dyDescent="0.2">
      <c r="C210" s="164"/>
      <c r="D210" s="165"/>
      <c r="E210" s="165"/>
      <c r="F210" s="195"/>
      <c r="I210" s="4"/>
      <c r="J210" s="4"/>
    </row>
    <row r="211" spans="3:10" x14ac:dyDescent="0.2">
      <c r="C211" s="164"/>
      <c r="D211" s="165"/>
      <c r="E211" s="165"/>
      <c r="F211" s="195"/>
      <c r="I211" s="4"/>
      <c r="J211" s="4"/>
    </row>
    <row r="212" spans="3:10" x14ac:dyDescent="0.2">
      <c r="C212" s="164"/>
      <c r="D212" s="165"/>
      <c r="E212" s="165"/>
      <c r="F212" s="195"/>
      <c r="I212" s="4"/>
      <c r="J212" s="4"/>
    </row>
    <row r="213" spans="3:10" x14ac:dyDescent="0.2">
      <c r="C213" s="164"/>
      <c r="D213" s="165"/>
      <c r="E213" s="165"/>
      <c r="F213" s="195"/>
      <c r="I213" s="4"/>
      <c r="J213" s="4"/>
    </row>
    <row r="214" spans="3:10" x14ac:dyDescent="0.2">
      <c r="C214" s="164"/>
      <c r="D214" s="165"/>
      <c r="E214" s="165"/>
      <c r="F214" s="195"/>
      <c r="I214" s="4"/>
      <c r="J214" s="4"/>
    </row>
    <row r="215" spans="3:10" x14ac:dyDescent="0.2">
      <c r="C215" s="164"/>
      <c r="D215" s="165"/>
      <c r="E215" s="165"/>
      <c r="F215" s="195"/>
      <c r="I215" s="4"/>
      <c r="J215" s="4"/>
    </row>
    <row r="216" spans="3:10" x14ac:dyDescent="0.2">
      <c r="C216" s="164"/>
      <c r="D216" s="165"/>
      <c r="E216" s="165"/>
      <c r="F216" s="195"/>
      <c r="I216" s="4"/>
      <c r="J216" s="4"/>
    </row>
    <row r="217" spans="3:10" x14ac:dyDescent="0.2">
      <c r="C217" s="164"/>
      <c r="D217" s="165"/>
      <c r="E217" s="165"/>
      <c r="F217" s="195"/>
      <c r="I217" s="4"/>
      <c r="J217" s="4"/>
    </row>
    <row r="218" spans="3:10" x14ac:dyDescent="0.2">
      <c r="C218" s="164"/>
      <c r="D218" s="165"/>
      <c r="E218" s="165"/>
      <c r="F218" s="195"/>
      <c r="I218" s="4"/>
      <c r="J218" s="4"/>
    </row>
    <row r="219" spans="3:10" x14ac:dyDescent="0.2">
      <c r="C219" s="164"/>
      <c r="D219" s="165"/>
      <c r="E219" s="165"/>
      <c r="F219" s="195"/>
      <c r="I219" s="4"/>
      <c r="J219" s="4"/>
    </row>
    <row r="220" spans="3:10" x14ac:dyDescent="0.2">
      <c r="C220" s="164"/>
      <c r="D220" s="165"/>
      <c r="E220" s="165"/>
      <c r="F220" s="195"/>
      <c r="I220" s="4"/>
      <c r="J220" s="4"/>
    </row>
    <row r="221" spans="3:10" x14ac:dyDescent="0.2">
      <c r="C221" s="164"/>
      <c r="D221" s="165"/>
      <c r="E221" s="165"/>
      <c r="F221" s="195"/>
      <c r="I221" s="4"/>
      <c r="J221" s="4"/>
    </row>
    <row r="222" spans="3:10" x14ac:dyDescent="0.2">
      <c r="C222" s="164"/>
      <c r="D222" s="165"/>
      <c r="E222" s="165"/>
      <c r="F222" s="195"/>
      <c r="I222" s="4"/>
      <c r="J222" s="4"/>
    </row>
    <row r="223" spans="3:10" x14ac:dyDescent="0.2">
      <c r="C223" s="164"/>
      <c r="D223" s="165"/>
      <c r="E223" s="165"/>
      <c r="F223" s="195"/>
      <c r="I223" s="4"/>
      <c r="J223" s="4"/>
    </row>
    <row r="224" spans="3:10" x14ac:dyDescent="0.2">
      <c r="C224" s="164"/>
      <c r="D224" s="165"/>
      <c r="E224" s="165"/>
      <c r="F224" s="195"/>
      <c r="I224" s="4"/>
      <c r="J224" s="4"/>
    </row>
    <row r="225" spans="3:10" x14ac:dyDescent="0.2">
      <c r="C225" s="164"/>
      <c r="D225" s="165"/>
      <c r="E225" s="165"/>
      <c r="F225" s="195"/>
      <c r="I225" s="4"/>
      <c r="J225" s="4"/>
    </row>
    <row r="226" spans="3:10" x14ac:dyDescent="0.2">
      <c r="C226" s="164"/>
      <c r="D226" s="165"/>
      <c r="E226" s="165"/>
      <c r="F226" s="195"/>
      <c r="I226" s="4"/>
      <c r="J226" s="4"/>
    </row>
    <row r="227" spans="3:10" x14ac:dyDescent="0.2">
      <c r="C227" s="164"/>
      <c r="D227" s="165"/>
      <c r="E227" s="165"/>
      <c r="F227" s="195"/>
      <c r="I227" s="4"/>
      <c r="J227" s="4"/>
    </row>
    <row r="228" spans="3:10" x14ac:dyDescent="0.2">
      <c r="C228" s="164"/>
      <c r="D228" s="165"/>
      <c r="E228" s="165"/>
      <c r="F228" s="195"/>
      <c r="I228" s="4"/>
      <c r="J228" s="4"/>
    </row>
    <row r="229" spans="3:10" x14ac:dyDescent="0.2">
      <c r="C229" s="164"/>
      <c r="D229" s="165"/>
      <c r="E229" s="165"/>
      <c r="F229" s="195"/>
      <c r="I229" s="4"/>
      <c r="J229" s="4"/>
    </row>
    <row r="230" spans="3:10" x14ac:dyDescent="0.2">
      <c r="C230" s="164"/>
      <c r="D230" s="165"/>
      <c r="E230" s="165"/>
      <c r="F230" s="195"/>
      <c r="I230" s="4"/>
      <c r="J230" s="4"/>
    </row>
    <row r="231" spans="3:10" x14ac:dyDescent="0.2">
      <c r="C231" s="164"/>
      <c r="D231" s="165"/>
      <c r="E231" s="165"/>
      <c r="F231" s="195"/>
      <c r="I231" s="4"/>
      <c r="J231" s="4"/>
    </row>
    <row r="232" spans="3:10" x14ac:dyDescent="0.2">
      <c r="C232" s="164"/>
      <c r="D232" s="165"/>
      <c r="E232" s="165"/>
      <c r="F232" s="195"/>
      <c r="I232" s="4"/>
      <c r="J232" s="4"/>
    </row>
    <row r="233" spans="3:10" x14ac:dyDescent="0.2">
      <c r="C233" s="164"/>
      <c r="D233" s="165"/>
      <c r="E233" s="165"/>
      <c r="F233" s="195"/>
      <c r="I233" s="4"/>
      <c r="J233" s="4"/>
    </row>
    <row r="234" spans="3:10" x14ac:dyDescent="0.2">
      <c r="C234" s="164"/>
      <c r="D234" s="165"/>
      <c r="E234" s="165"/>
      <c r="F234" s="195"/>
      <c r="I234" s="4"/>
      <c r="J234" s="4"/>
    </row>
    <row r="235" spans="3:10" x14ac:dyDescent="0.2">
      <c r="C235" s="164"/>
      <c r="D235" s="165"/>
      <c r="E235" s="165"/>
      <c r="F235" s="195"/>
      <c r="I235" s="4"/>
      <c r="J235" s="4"/>
    </row>
    <row r="236" spans="3:10" x14ac:dyDescent="0.2">
      <c r="C236" s="164"/>
      <c r="D236" s="165"/>
      <c r="E236" s="165"/>
      <c r="F236" s="195"/>
      <c r="I236" s="4"/>
      <c r="J236" s="4"/>
    </row>
    <row r="237" spans="3:10" x14ac:dyDescent="0.2">
      <c r="C237" s="164"/>
      <c r="D237" s="165"/>
      <c r="E237" s="165"/>
      <c r="F237" s="195"/>
      <c r="I237" s="4"/>
      <c r="J237" s="4"/>
    </row>
    <row r="238" spans="3:10" x14ac:dyDescent="0.2">
      <c r="C238" s="164"/>
      <c r="D238" s="165"/>
      <c r="E238" s="165"/>
      <c r="F238" s="195"/>
      <c r="I238" s="4"/>
      <c r="J238" s="4"/>
    </row>
    <row r="239" spans="3:10" x14ac:dyDescent="0.2">
      <c r="C239" s="164"/>
      <c r="D239" s="165"/>
      <c r="E239" s="165"/>
      <c r="F239" s="195"/>
      <c r="I239" s="4"/>
      <c r="J239" s="4"/>
    </row>
    <row r="240" spans="3:10" x14ac:dyDescent="0.2">
      <c r="C240" s="164"/>
      <c r="D240" s="165"/>
      <c r="E240" s="165"/>
      <c r="F240" s="195"/>
      <c r="I240" s="4"/>
      <c r="J240" s="4"/>
    </row>
    <row r="241" spans="3:10" x14ac:dyDescent="0.2">
      <c r="C241" s="164"/>
      <c r="D241" s="165"/>
      <c r="E241" s="165"/>
      <c r="F241" s="195"/>
      <c r="I241" s="4"/>
      <c r="J241" s="4"/>
    </row>
    <row r="242" spans="3:10" x14ac:dyDescent="0.2">
      <c r="C242" s="164"/>
      <c r="D242" s="165"/>
      <c r="E242" s="165"/>
      <c r="F242" s="195"/>
      <c r="I242" s="4"/>
      <c r="J242" s="4"/>
    </row>
    <row r="243" spans="3:10" x14ac:dyDescent="0.2">
      <c r="C243" s="164"/>
      <c r="D243" s="165"/>
      <c r="E243" s="165"/>
      <c r="F243" s="195"/>
      <c r="I243" s="4"/>
      <c r="J243" s="4"/>
    </row>
    <row r="244" spans="3:10" x14ac:dyDescent="0.2">
      <c r="C244" s="164"/>
      <c r="D244" s="165"/>
      <c r="E244" s="165"/>
      <c r="F244" s="195"/>
      <c r="I244" s="4"/>
      <c r="J244" s="4"/>
    </row>
    <row r="245" spans="3:10" x14ac:dyDescent="0.2">
      <c r="C245" s="164"/>
      <c r="D245" s="165"/>
      <c r="E245" s="165"/>
      <c r="F245" s="195"/>
      <c r="I245" s="4"/>
      <c r="J245" s="4"/>
    </row>
    <row r="246" spans="3:10" x14ac:dyDescent="0.2">
      <c r="C246" s="164"/>
      <c r="D246" s="165"/>
      <c r="E246" s="165"/>
      <c r="F246" s="195"/>
      <c r="I246" s="4"/>
      <c r="J246" s="4"/>
    </row>
    <row r="247" spans="3:10" x14ac:dyDescent="0.2">
      <c r="C247" s="164"/>
      <c r="D247" s="165"/>
      <c r="E247" s="165"/>
      <c r="F247" s="195"/>
      <c r="I247" s="4"/>
      <c r="J247" s="4"/>
    </row>
    <row r="248" spans="3:10" x14ac:dyDescent="0.2">
      <c r="C248" s="164"/>
      <c r="D248" s="165"/>
      <c r="E248" s="165"/>
      <c r="F248" s="195"/>
      <c r="I248" s="4"/>
      <c r="J248" s="4"/>
    </row>
    <row r="249" spans="3:10" x14ac:dyDescent="0.2">
      <c r="C249" s="164"/>
      <c r="D249" s="165"/>
      <c r="E249" s="165"/>
      <c r="F249" s="195"/>
      <c r="I249" s="4"/>
      <c r="J249" s="4"/>
    </row>
    <row r="250" spans="3:10" x14ac:dyDescent="0.2">
      <c r="C250" s="164"/>
      <c r="D250" s="165"/>
      <c r="E250" s="165"/>
      <c r="F250" s="195"/>
      <c r="I250" s="4"/>
      <c r="J250" s="4"/>
    </row>
    <row r="251" spans="3:10" x14ac:dyDescent="0.2">
      <c r="C251" s="164"/>
      <c r="D251" s="165"/>
      <c r="E251" s="165"/>
      <c r="F251" s="195"/>
      <c r="I251" s="4"/>
      <c r="J251" s="4"/>
    </row>
    <row r="252" spans="3:10" x14ac:dyDescent="0.2">
      <c r="C252" s="164"/>
      <c r="D252" s="165"/>
      <c r="E252" s="165"/>
      <c r="F252" s="195"/>
      <c r="I252" s="4"/>
      <c r="J252" s="4"/>
    </row>
    <row r="253" spans="3:10" x14ac:dyDescent="0.2">
      <c r="C253" s="164"/>
      <c r="D253" s="165"/>
      <c r="E253" s="165"/>
      <c r="F253" s="195"/>
      <c r="I253" s="4"/>
      <c r="J253" s="4"/>
    </row>
    <row r="254" spans="3:10" x14ac:dyDescent="0.2">
      <c r="C254" s="164"/>
      <c r="D254" s="165"/>
      <c r="E254" s="165"/>
      <c r="F254" s="195"/>
      <c r="I254" s="4"/>
      <c r="J254" s="4"/>
    </row>
    <row r="255" spans="3:10" x14ac:dyDescent="0.2">
      <c r="C255" s="164"/>
      <c r="D255" s="165"/>
      <c r="E255" s="165"/>
      <c r="F255" s="195"/>
      <c r="I255" s="4"/>
      <c r="J255" s="4"/>
    </row>
    <row r="256" spans="3:10" x14ac:dyDescent="0.2">
      <c r="C256" s="164"/>
      <c r="D256" s="165"/>
      <c r="E256" s="165"/>
      <c r="F256" s="195"/>
      <c r="I256" s="4"/>
      <c r="J256" s="4"/>
    </row>
    <row r="257" spans="3:10" x14ac:dyDescent="0.2">
      <c r="C257" s="164"/>
      <c r="D257" s="165"/>
      <c r="E257" s="165"/>
      <c r="F257" s="195"/>
      <c r="I257" s="4"/>
      <c r="J257" s="4"/>
    </row>
    <row r="258" spans="3:10" x14ac:dyDescent="0.2">
      <c r="C258" s="164"/>
      <c r="D258" s="165"/>
      <c r="E258" s="165"/>
      <c r="F258" s="195"/>
      <c r="I258" s="4"/>
      <c r="J258" s="4"/>
    </row>
    <row r="259" spans="3:10" x14ac:dyDescent="0.2">
      <c r="C259" s="164"/>
      <c r="D259" s="165"/>
      <c r="E259" s="165"/>
      <c r="F259" s="195"/>
      <c r="I259" s="4"/>
      <c r="J259" s="4"/>
    </row>
    <row r="260" spans="3:10" x14ac:dyDescent="0.2">
      <c r="C260" s="164"/>
      <c r="D260" s="165"/>
      <c r="E260" s="165"/>
      <c r="F260" s="195"/>
      <c r="I260" s="4"/>
      <c r="J260" s="4"/>
    </row>
    <row r="261" spans="3:10" x14ac:dyDescent="0.2">
      <c r="C261" s="164"/>
      <c r="D261" s="165"/>
      <c r="E261" s="165"/>
      <c r="F261" s="195"/>
      <c r="I261" s="4"/>
      <c r="J261" s="4"/>
    </row>
    <row r="262" spans="3:10" x14ac:dyDescent="0.2">
      <c r="C262" s="164"/>
      <c r="D262" s="165"/>
      <c r="E262" s="165"/>
      <c r="F262" s="195"/>
      <c r="I262" s="4"/>
      <c r="J262" s="4"/>
    </row>
    <row r="263" spans="3:10" x14ac:dyDescent="0.2">
      <c r="C263" s="164"/>
      <c r="D263" s="165"/>
      <c r="E263" s="165"/>
      <c r="F263" s="195"/>
      <c r="I263" s="4"/>
      <c r="J263" s="4"/>
    </row>
    <row r="264" spans="3:10" x14ac:dyDescent="0.2">
      <c r="C264" s="164"/>
      <c r="D264" s="165"/>
      <c r="E264" s="165"/>
      <c r="F264" s="195"/>
      <c r="I264" s="4"/>
      <c r="J264" s="4"/>
    </row>
    <row r="265" spans="3:10" x14ac:dyDescent="0.2">
      <c r="C265" s="164"/>
      <c r="D265" s="165"/>
      <c r="E265" s="165"/>
      <c r="F265" s="195"/>
      <c r="I265" s="4"/>
      <c r="J265" s="4"/>
    </row>
    <row r="266" spans="3:10" x14ac:dyDescent="0.2">
      <c r="C266" s="164"/>
      <c r="D266" s="165"/>
      <c r="E266" s="165"/>
      <c r="F266" s="195"/>
      <c r="I266" s="4"/>
      <c r="J266" s="4"/>
    </row>
    <row r="267" spans="3:10" x14ac:dyDescent="0.2">
      <c r="C267" s="164"/>
      <c r="D267" s="165"/>
      <c r="E267" s="165"/>
      <c r="F267" s="195"/>
      <c r="I267" s="4"/>
      <c r="J267" s="4"/>
    </row>
    <row r="268" spans="3:10" x14ac:dyDescent="0.2">
      <c r="C268" s="164"/>
      <c r="D268" s="165"/>
      <c r="E268" s="165"/>
      <c r="F268" s="195"/>
      <c r="I268" s="4"/>
      <c r="J268" s="4"/>
    </row>
    <row r="269" spans="3:10" x14ac:dyDescent="0.2">
      <c r="C269" s="164"/>
      <c r="D269" s="165"/>
      <c r="E269" s="165"/>
      <c r="F269" s="195"/>
      <c r="I269" s="4"/>
      <c r="J269" s="4"/>
    </row>
    <row r="270" spans="3:10" x14ac:dyDescent="0.2">
      <c r="C270" s="164"/>
      <c r="D270" s="165"/>
      <c r="E270" s="165"/>
      <c r="F270" s="195"/>
      <c r="I270" s="4"/>
      <c r="J270" s="4"/>
    </row>
    <row r="271" spans="3:10" x14ac:dyDescent="0.2">
      <c r="C271" s="164"/>
      <c r="D271" s="165"/>
      <c r="E271" s="165"/>
      <c r="F271" s="195"/>
      <c r="I271" s="4"/>
      <c r="J271" s="4"/>
    </row>
    <row r="272" spans="3:10" x14ac:dyDescent="0.2">
      <c r="C272" s="164"/>
      <c r="D272" s="165"/>
      <c r="E272" s="165"/>
      <c r="F272" s="195"/>
      <c r="I272" s="4"/>
      <c r="J272" s="4"/>
    </row>
    <row r="273" spans="3:10" x14ac:dyDescent="0.2">
      <c r="C273" s="164"/>
      <c r="D273" s="165"/>
      <c r="E273" s="165"/>
      <c r="F273" s="195"/>
      <c r="I273" s="4"/>
      <c r="J273" s="4"/>
    </row>
    <row r="274" spans="3:10" x14ac:dyDescent="0.2">
      <c r="C274" s="164"/>
      <c r="D274" s="165"/>
      <c r="E274" s="165"/>
      <c r="F274" s="195"/>
      <c r="I274" s="4"/>
      <c r="J274" s="4"/>
    </row>
    <row r="275" spans="3:10" x14ac:dyDescent="0.2">
      <c r="C275" s="164"/>
      <c r="D275" s="165"/>
      <c r="E275" s="165"/>
      <c r="F275" s="195"/>
      <c r="I275" s="4"/>
      <c r="J275" s="4"/>
    </row>
    <row r="276" spans="3:10" x14ac:dyDescent="0.2">
      <c r="C276" s="164"/>
      <c r="D276" s="165"/>
      <c r="E276" s="165"/>
      <c r="F276" s="195"/>
      <c r="I276" s="4"/>
      <c r="J276" s="4"/>
    </row>
    <row r="277" spans="3:10" x14ac:dyDescent="0.2">
      <c r="C277" s="164"/>
      <c r="D277" s="165"/>
      <c r="E277" s="165"/>
      <c r="F277" s="195"/>
      <c r="I277" s="4"/>
      <c r="J277" s="4"/>
    </row>
    <row r="278" spans="3:10" x14ac:dyDescent="0.2">
      <c r="C278" s="164"/>
      <c r="D278" s="165"/>
      <c r="E278" s="165"/>
      <c r="F278" s="195"/>
      <c r="I278" s="4"/>
      <c r="J278" s="4"/>
    </row>
    <row r="279" spans="3:10" x14ac:dyDescent="0.2">
      <c r="C279" s="164"/>
      <c r="D279" s="165"/>
      <c r="E279" s="165"/>
      <c r="F279" s="195"/>
      <c r="I279" s="4"/>
      <c r="J279" s="4"/>
    </row>
    <row r="280" spans="3:10" x14ac:dyDescent="0.2">
      <c r="C280" s="164"/>
      <c r="D280" s="165"/>
      <c r="E280" s="165"/>
      <c r="F280" s="195"/>
      <c r="I280" s="4"/>
      <c r="J280" s="4"/>
    </row>
    <row r="281" spans="3:10" x14ac:dyDescent="0.2">
      <c r="C281" s="164"/>
      <c r="D281" s="165"/>
      <c r="E281" s="165"/>
      <c r="F281" s="195"/>
      <c r="I281" s="4"/>
      <c r="J281" s="4"/>
    </row>
    <row r="282" spans="3:10" x14ac:dyDescent="0.2">
      <c r="C282" s="164"/>
      <c r="D282" s="165"/>
      <c r="E282" s="165"/>
      <c r="F282" s="195"/>
      <c r="I282" s="4"/>
      <c r="J282" s="4"/>
    </row>
    <row r="283" spans="3:10" x14ac:dyDescent="0.2">
      <c r="C283" s="164"/>
      <c r="D283" s="165"/>
      <c r="E283" s="165"/>
      <c r="F283" s="195"/>
      <c r="I283" s="4"/>
      <c r="J283" s="4"/>
    </row>
    <row r="284" spans="3:10" x14ac:dyDescent="0.2">
      <c r="C284" s="164"/>
      <c r="D284" s="165"/>
      <c r="E284" s="165"/>
      <c r="F284" s="195"/>
      <c r="I284" s="4"/>
      <c r="J284" s="4"/>
    </row>
    <row r="285" spans="3:10" x14ac:dyDescent="0.2">
      <c r="C285" s="164"/>
      <c r="D285" s="165"/>
      <c r="E285" s="165"/>
      <c r="F285" s="195"/>
      <c r="I285" s="4"/>
      <c r="J285" s="4"/>
    </row>
    <row r="286" spans="3:10" x14ac:dyDescent="0.2">
      <c r="C286" s="164"/>
      <c r="D286" s="165"/>
      <c r="E286" s="165"/>
      <c r="F286" s="195"/>
      <c r="I286" s="4"/>
      <c r="J286" s="4"/>
    </row>
    <row r="287" spans="3:10" x14ac:dyDescent="0.2">
      <c r="C287" s="164"/>
      <c r="D287" s="165"/>
      <c r="E287" s="165"/>
      <c r="F287" s="195"/>
      <c r="I287" s="4"/>
      <c r="J287" s="4"/>
    </row>
    <row r="288" spans="3:10" x14ac:dyDescent="0.2">
      <c r="C288" s="164"/>
      <c r="D288" s="165"/>
      <c r="E288" s="165"/>
      <c r="F288" s="195"/>
      <c r="I288" s="4"/>
      <c r="J288" s="4"/>
    </row>
    <row r="289" spans="3:10" x14ac:dyDescent="0.2">
      <c r="C289" s="164"/>
      <c r="D289" s="165"/>
      <c r="E289" s="165"/>
      <c r="F289" s="195"/>
      <c r="I289" s="4"/>
      <c r="J289" s="4"/>
    </row>
    <row r="290" spans="3:10" x14ac:dyDescent="0.2">
      <c r="C290" s="164"/>
      <c r="D290" s="165"/>
      <c r="E290" s="165"/>
      <c r="F290" s="195"/>
      <c r="I290" s="4"/>
      <c r="J290" s="4"/>
    </row>
    <row r="291" spans="3:10" x14ac:dyDescent="0.2">
      <c r="C291" s="164"/>
      <c r="D291" s="165"/>
      <c r="E291" s="165"/>
      <c r="F291" s="195"/>
      <c r="I291" s="4"/>
      <c r="J291" s="4"/>
    </row>
    <row r="292" spans="3:10" x14ac:dyDescent="0.2">
      <c r="C292" s="164"/>
      <c r="D292" s="165"/>
      <c r="E292" s="165"/>
      <c r="F292" s="195"/>
      <c r="I292" s="4"/>
      <c r="J292" s="4"/>
    </row>
    <row r="293" spans="3:10" x14ac:dyDescent="0.2">
      <c r="C293" s="164"/>
      <c r="D293" s="165"/>
      <c r="E293" s="165"/>
      <c r="F293" s="195"/>
      <c r="I293" s="4"/>
      <c r="J293" s="4"/>
    </row>
    <row r="294" spans="3:10" x14ac:dyDescent="0.2">
      <c r="C294" s="164"/>
      <c r="D294" s="165"/>
      <c r="E294" s="165"/>
      <c r="F294" s="195"/>
      <c r="I294" s="4"/>
      <c r="J294" s="4"/>
    </row>
    <row r="295" spans="3:10" x14ac:dyDescent="0.2">
      <c r="C295" s="164"/>
      <c r="D295" s="165"/>
      <c r="E295" s="165"/>
      <c r="F295" s="195"/>
      <c r="I295" s="4"/>
      <c r="J295" s="4"/>
    </row>
    <row r="296" spans="3:10" x14ac:dyDescent="0.2">
      <c r="C296" s="164"/>
      <c r="D296" s="165"/>
      <c r="E296" s="165"/>
      <c r="F296" s="195"/>
      <c r="I296" s="4"/>
      <c r="J296" s="4"/>
    </row>
    <row r="297" spans="3:10" x14ac:dyDescent="0.2">
      <c r="C297" s="164"/>
      <c r="D297" s="165"/>
      <c r="E297" s="165"/>
      <c r="F297" s="195"/>
      <c r="I297" s="4"/>
      <c r="J297" s="4"/>
    </row>
    <row r="298" spans="3:10" x14ac:dyDescent="0.2">
      <c r="C298" s="164"/>
      <c r="D298" s="165"/>
      <c r="E298" s="165"/>
      <c r="F298" s="195"/>
      <c r="I298" s="4"/>
      <c r="J298" s="4"/>
    </row>
  </sheetData>
  <hyperlinks>
    <hyperlink ref="B2" r:id="rId1" xr:uid="{9E542B09-F14F-47AC-A2E3-271AC4930A7F}"/>
  </hyperlinks>
  <pageMargins left="0.7" right="0.7" top="0.78740157499999996" bottom="0.78740157499999996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96"/>
  <sheetViews>
    <sheetView workbookViewId="0"/>
  </sheetViews>
  <sheetFormatPr baseColWidth="10" defaultColWidth="12.5703125" defaultRowHeight="15.75" customHeight="1" x14ac:dyDescent="0.2"/>
  <cols>
    <col min="1" max="1" width="3.85546875" customWidth="1"/>
    <col min="2" max="2" width="41.42578125" customWidth="1"/>
    <col min="3" max="3" width="10.140625" customWidth="1"/>
    <col min="4" max="4" width="12.7109375" customWidth="1"/>
    <col min="5" max="5" width="15" customWidth="1"/>
    <col min="6" max="6" width="20" customWidth="1"/>
    <col min="11" max="11" width="26.5703125" customWidth="1"/>
  </cols>
  <sheetData>
    <row r="1" spans="1:12" ht="15.75" customHeight="1" x14ac:dyDescent="0.25">
      <c r="A1" s="166" t="s">
        <v>268</v>
      </c>
      <c r="B1" s="12"/>
      <c r="C1" s="12"/>
      <c r="D1" s="12"/>
      <c r="E1" s="12"/>
      <c r="F1" s="12"/>
      <c r="G1" s="12"/>
      <c r="H1" s="15"/>
      <c r="I1" s="12"/>
      <c r="J1" s="12"/>
      <c r="K1" s="15"/>
      <c r="L1" s="3"/>
    </row>
    <row r="2" spans="1:12" ht="25.5" x14ac:dyDescent="0.2">
      <c r="A2" s="176"/>
      <c r="B2" s="177" t="s">
        <v>258</v>
      </c>
      <c r="C2" s="194" t="s">
        <v>265</v>
      </c>
      <c r="D2" s="177" t="s">
        <v>264</v>
      </c>
      <c r="E2" s="177" t="s">
        <v>263</v>
      </c>
      <c r="F2" s="177" t="s">
        <v>262</v>
      </c>
      <c r="G2" s="177" t="s">
        <v>261</v>
      </c>
      <c r="H2" s="177" t="s">
        <v>266</v>
      </c>
      <c r="I2" s="179" t="s">
        <v>257</v>
      </c>
      <c r="J2" s="180">
        <f>SUM(G3:G296)</f>
        <v>293.54000000000002</v>
      </c>
      <c r="K2" s="181" t="s">
        <v>15</v>
      </c>
      <c r="L2" s="3"/>
    </row>
    <row r="3" spans="1:12" ht="12.75" x14ac:dyDescent="0.2">
      <c r="A3" s="168">
        <v>1</v>
      </c>
      <c r="B3" s="4" t="s">
        <v>112</v>
      </c>
      <c r="C3" s="164">
        <v>32</v>
      </c>
      <c r="D3" s="164">
        <v>100</v>
      </c>
      <c r="E3" s="164">
        <v>1</v>
      </c>
      <c r="F3" s="165">
        <v>9.9700000000000006</v>
      </c>
      <c r="G3" s="165">
        <f t="shared" ref="G3:G28" si="0">E3*F3</f>
        <v>9.9700000000000006</v>
      </c>
      <c r="H3" s="165" t="s">
        <v>113</v>
      </c>
      <c r="K3" s="167" t="s">
        <v>114</v>
      </c>
      <c r="L3" s="4"/>
    </row>
    <row r="4" spans="1:12" ht="12.75" x14ac:dyDescent="0.2">
      <c r="A4" s="168">
        <v>2</v>
      </c>
      <c r="B4" s="4" t="s">
        <v>115</v>
      </c>
      <c r="C4" s="164">
        <v>135</v>
      </c>
      <c r="D4" s="164">
        <v>100</v>
      </c>
      <c r="E4" s="164">
        <v>2</v>
      </c>
      <c r="F4" s="165">
        <v>11.97</v>
      </c>
      <c r="G4" s="165">
        <f t="shared" si="0"/>
        <v>23.94</v>
      </c>
      <c r="H4" s="165" t="s">
        <v>116</v>
      </c>
      <c r="K4" s="170"/>
      <c r="L4" s="4"/>
    </row>
    <row r="5" spans="1:12" ht="12.75" x14ac:dyDescent="0.2">
      <c r="A5" s="168">
        <v>3</v>
      </c>
      <c r="B5" s="4" t="s">
        <v>117</v>
      </c>
      <c r="C5" s="164">
        <v>12</v>
      </c>
      <c r="D5" s="164">
        <v>100</v>
      </c>
      <c r="E5" s="164">
        <v>1</v>
      </c>
      <c r="F5" s="165">
        <v>7.09</v>
      </c>
      <c r="G5" s="165">
        <f t="shared" si="0"/>
        <v>7.09</v>
      </c>
      <c r="H5" s="165" t="s">
        <v>118</v>
      </c>
      <c r="K5" s="170"/>
      <c r="L5" s="4"/>
    </row>
    <row r="6" spans="1:12" ht="12.75" x14ac:dyDescent="0.2">
      <c r="A6" s="168">
        <v>4</v>
      </c>
      <c r="B6" s="4" t="s">
        <v>119</v>
      </c>
      <c r="C6" s="164">
        <v>8</v>
      </c>
      <c r="D6" s="164">
        <v>100</v>
      </c>
      <c r="E6" s="164">
        <v>1</v>
      </c>
      <c r="F6" s="165">
        <v>12.28</v>
      </c>
      <c r="G6" s="165">
        <f t="shared" si="0"/>
        <v>12.28</v>
      </c>
      <c r="H6" s="165" t="s">
        <v>120</v>
      </c>
      <c r="K6" s="170"/>
      <c r="L6" s="4"/>
    </row>
    <row r="7" spans="1:12" ht="12.75" x14ac:dyDescent="0.2">
      <c r="A7" s="168">
        <v>5</v>
      </c>
      <c r="B7" s="4" t="s">
        <v>121</v>
      </c>
      <c r="C7" s="164">
        <v>8</v>
      </c>
      <c r="D7" s="164">
        <v>50</v>
      </c>
      <c r="E7" s="164">
        <v>1</v>
      </c>
      <c r="F7" s="165">
        <v>13.99</v>
      </c>
      <c r="G7" s="165">
        <f t="shared" si="0"/>
        <v>13.99</v>
      </c>
      <c r="H7" s="165" t="s">
        <v>122</v>
      </c>
      <c r="K7" s="170"/>
      <c r="L7" s="4"/>
    </row>
    <row r="8" spans="1:12" ht="12.75" x14ac:dyDescent="0.2">
      <c r="A8" s="168">
        <v>6</v>
      </c>
      <c r="B8" s="4" t="s">
        <v>123</v>
      </c>
      <c r="C8" s="164">
        <v>55</v>
      </c>
      <c r="D8" s="164">
        <v>100</v>
      </c>
      <c r="E8" s="164">
        <v>1</v>
      </c>
      <c r="F8" s="165">
        <v>13.98</v>
      </c>
      <c r="G8" s="165">
        <f t="shared" si="0"/>
        <v>13.98</v>
      </c>
      <c r="H8" s="165" t="s">
        <v>124</v>
      </c>
      <c r="K8" s="170"/>
      <c r="L8" s="4"/>
    </row>
    <row r="9" spans="1:12" ht="12.75" x14ac:dyDescent="0.2">
      <c r="A9" s="168">
        <v>7</v>
      </c>
      <c r="B9" s="4" t="s">
        <v>125</v>
      </c>
      <c r="C9" s="164">
        <v>10</v>
      </c>
      <c r="D9" s="164">
        <v>100</v>
      </c>
      <c r="E9" s="164">
        <v>1</v>
      </c>
      <c r="F9" s="165">
        <v>12.48</v>
      </c>
      <c r="G9" s="165">
        <f t="shared" si="0"/>
        <v>12.48</v>
      </c>
      <c r="H9" s="165" t="s">
        <v>126</v>
      </c>
      <c r="K9" s="170"/>
      <c r="L9" s="4"/>
    </row>
    <row r="10" spans="1:12" ht="12.75" x14ac:dyDescent="0.2">
      <c r="A10" s="168">
        <v>8</v>
      </c>
      <c r="B10" s="4" t="s">
        <v>127</v>
      </c>
      <c r="C10" s="164">
        <v>8</v>
      </c>
      <c r="D10" s="164">
        <v>50</v>
      </c>
      <c r="E10" s="164">
        <v>1</v>
      </c>
      <c r="F10" s="165">
        <v>13.19</v>
      </c>
      <c r="G10" s="165">
        <f t="shared" si="0"/>
        <v>13.19</v>
      </c>
      <c r="H10" s="165" t="s">
        <v>128</v>
      </c>
      <c r="K10" s="170"/>
      <c r="L10" s="4"/>
    </row>
    <row r="11" spans="1:12" ht="12.75" x14ac:dyDescent="0.2">
      <c r="A11" s="168">
        <v>9</v>
      </c>
      <c r="B11" s="4" t="s">
        <v>129</v>
      </c>
      <c r="C11" s="164">
        <v>2</v>
      </c>
      <c r="D11" s="164">
        <v>20</v>
      </c>
      <c r="E11" s="164">
        <v>1</v>
      </c>
      <c r="F11" s="165">
        <v>9.6300000000000008</v>
      </c>
      <c r="G11" s="165">
        <f t="shared" si="0"/>
        <v>9.6300000000000008</v>
      </c>
      <c r="H11" s="165" t="s">
        <v>130</v>
      </c>
      <c r="K11" s="170"/>
      <c r="L11" s="4"/>
    </row>
    <row r="12" spans="1:12" ht="12.75" x14ac:dyDescent="0.2">
      <c r="A12" s="168">
        <v>10</v>
      </c>
      <c r="B12" s="4" t="s">
        <v>131</v>
      </c>
      <c r="C12" s="164">
        <v>4</v>
      </c>
      <c r="D12" s="164">
        <v>10</v>
      </c>
      <c r="E12" s="164">
        <v>1</v>
      </c>
      <c r="F12" s="165">
        <v>5.53</v>
      </c>
      <c r="G12" s="165">
        <f t="shared" si="0"/>
        <v>5.53</v>
      </c>
      <c r="H12" s="165" t="s">
        <v>132</v>
      </c>
      <c r="K12" s="170"/>
      <c r="L12" s="4"/>
    </row>
    <row r="13" spans="1:12" ht="12.75" x14ac:dyDescent="0.2">
      <c r="A13" s="168">
        <v>11</v>
      </c>
      <c r="B13" s="4" t="s">
        <v>133</v>
      </c>
      <c r="C13" s="4">
        <v>175</v>
      </c>
      <c r="D13" s="164">
        <v>500</v>
      </c>
      <c r="E13" s="164">
        <v>1</v>
      </c>
      <c r="F13" s="165">
        <v>41.83</v>
      </c>
      <c r="G13" s="165">
        <f t="shared" si="0"/>
        <v>41.83</v>
      </c>
      <c r="H13" s="165" t="s">
        <v>134</v>
      </c>
      <c r="K13" s="170"/>
      <c r="L13" s="4"/>
    </row>
    <row r="14" spans="1:12" ht="12.75" x14ac:dyDescent="0.2">
      <c r="A14" s="168">
        <v>12</v>
      </c>
      <c r="B14" s="4" t="s">
        <v>135</v>
      </c>
      <c r="C14" s="4">
        <v>171</v>
      </c>
      <c r="D14" s="164">
        <v>200</v>
      </c>
      <c r="E14" s="164">
        <v>1</v>
      </c>
      <c r="F14" s="165">
        <v>29.06</v>
      </c>
      <c r="G14" s="165">
        <f t="shared" si="0"/>
        <v>29.06</v>
      </c>
      <c r="H14" s="165" t="s">
        <v>136</v>
      </c>
      <c r="K14" s="170"/>
      <c r="L14" s="4"/>
    </row>
    <row r="15" spans="1:12" ht="12.75" x14ac:dyDescent="0.2">
      <c r="A15" s="168">
        <v>13</v>
      </c>
      <c r="B15" s="4" t="s">
        <v>137</v>
      </c>
      <c r="C15" s="4">
        <v>9</v>
      </c>
      <c r="D15" s="164">
        <v>50</v>
      </c>
      <c r="E15" s="164">
        <v>1</v>
      </c>
      <c r="F15" s="165">
        <v>15.09</v>
      </c>
      <c r="G15" s="165">
        <f t="shared" si="0"/>
        <v>15.09</v>
      </c>
      <c r="H15" s="165" t="s">
        <v>138</v>
      </c>
      <c r="K15" s="170"/>
      <c r="L15" s="4"/>
    </row>
    <row r="16" spans="1:12" ht="12.75" x14ac:dyDescent="0.2">
      <c r="A16" s="169"/>
      <c r="D16" s="164"/>
      <c r="E16" s="164"/>
      <c r="F16" s="165">
        <v>0</v>
      </c>
      <c r="G16" s="165">
        <f t="shared" si="0"/>
        <v>0</v>
      </c>
      <c r="H16" s="165"/>
      <c r="K16" s="170"/>
      <c r="L16" s="4"/>
    </row>
    <row r="17" spans="1:12" ht="12.75" x14ac:dyDescent="0.2">
      <c r="A17" s="168">
        <v>14</v>
      </c>
      <c r="B17" s="4" t="s">
        <v>139</v>
      </c>
      <c r="C17" s="4">
        <v>6</v>
      </c>
      <c r="D17" s="164">
        <v>100</v>
      </c>
      <c r="E17" s="164">
        <v>1</v>
      </c>
      <c r="F17" s="165">
        <v>9.4600000000000009</v>
      </c>
      <c r="G17" s="165">
        <f t="shared" si="0"/>
        <v>9.4600000000000009</v>
      </c>
      <c r="H17" s="165" t="s">
        <v>140</v>
      </c>
      <c r="K17" s="167" t="s">
        <v>141</v>
      </c>
      <c r="L17" s="4"/>
    </row>
    <row r="18" spans="1:12" ht="12.75" x14ac:dyDescent="0.2">
      <c r="A18" s="168">
        <v>15</v>
      </c>
      <c r="B18" s="4" t="s">
        <v>142</v>
      </c>
      <c r="C18" s="4">
        <v>3</v>
      </c>
      <c r="D18" s="164">
        <v>50</v>
      </c>
      <c r="E18" s="164">
        <v>1</v>
      </c>
      <c r="F18" s="165">
        <v>7.7</v>
      </c>
      <c r="G18" s="165">
        <f t="shared" si="0"/>
        <v>7.7</v>
      </c>
      <c r="H18" s="165" t="s">
        <v>143</v>
      </c>
      <c r="K18" s="170"/>
      <c r="L18" s="4"/>
    </row>
    <row r="19" spans="1:12" ht="12.75" x14ac:dyDescent="0.2">
      <c r="A19" s="168">
        <v>16</v>
      </c>
      <c r="B19" s="4" t="s">
        <v>144</v>
      </c>
      <c r="C19" s="4">
        <v>12</v>
      </c>
      <c r="D19" s="164">
        <v>25</v>
      </c>
      <c r="E19" s="164">
        <v>1</v>
      </c>
      <c r="F19" s="165">
        <v>7.32</v>
      </c>
      <c r="G19" s="165">
        <f t="shared" si="0"/>
        <v>7.32</v>
      </c>
      <c r="H19" s="165" t="s">
        <v>145</v>
      </c>
      <c r="K19" s="170"/>
      <c r="L19" s="4"/>
    </row>
    <row r="20" spans="1:12" ht="12.75" x14ac:dyDescent="0.2">
      <c r="A20" s="169"/>
      <c r="D20" s="164"/>
      <c r="E20" s="164"/>
      <c r="F20" s="165">
        <v>0</v>
      </c>
      <c r="G20" s="165">
        <f t="shared" si="0"/>
        <v>0</v>
      </c>
      <c r="H20" s="165"/>
      <c r="K20" s="170"/>
      <c r="L20" s="4"/>
    </row>
    <row r="21" spans="1:12" ht="12.75" x14ac:dyDescent="0.2">
      <c r="A21" s="168">
        <v>17</v>
      </c>
      <c r="B21" s="4" t="s">
        <v>146</v>
      </c>
      <c r="C21" s="4">
        <v>18</v>
      </c>
      <c r="D21" s="164">
        <v>200</v>
      </c>
      <c r="E21" s="164">
        <v>1</v>
      </c>
      <c r="F21" s="165">
        <v>8.09</v>
      </c>
      <c r="G21" s="165">
        <f t="shared" si="0"/>
        <v>8.09</v>
      </c>
      <c r="H21" s="165" t="s">
        <v>147</v>
      </c>
      <c r="K21" s="167" t="s">
        <v>148</v>
      </c>
      <c r="L21" s="4"/>
    </row>
    <row r="22" spans="1:12" ht="12.75" x14ac:dyDescent="0.2">
      <c r="A22" s="168">
        <v>18</v>
      </c>
      <c r="B22" s="4" t="s">
        <v>149</v>
      </c>
      <c r="C22" s="4">
        <v>170</v>
      </c>
      <c r="D22" s="164">
        <v>100</v>
      </c>
      <c r="E22" s="164">
        <v>2</v>
      </c>
      <c r="F22" s="165">
        <v>5.36</v>
      </c>
      <c r="G22" s="165">
        <f t="shared" si="0"/>
        <v>10.72</v>
      </c>
      <c r="H22" s="165" t="s">
        <v>150</v>
      </c>
      <c r="K22" s="170"/>
      <c r="L22" s="4"/>
    </row>
    <row r="23" spans="1:12" ht="12.75" x14ac:dyDescent="0.2">
      <c r="A23" s="169"/>
      <c r="D23" s="164"/>
      <c r="E23" s="164"/>
      <c r="F23" s="165">
        <v>0</v>
      </c>
      <c r="G23" s="165">
        <f t="shared" si="0"/>
        <v>0</v>
      </c>
      <c r="H23" s="165"/>
      <c r="K23" s="170"/>
      <c r="L23" s="4"/>
    </row>
    <row r="24" spans="1:12" ht="12.75" x14ac:dyDescent="0.2">
      <c r="A24" s="168">
        <v>19</v>
      </c>
      <c r="B24" s="4" t="s">
        <v>151</v>
      </c>
      <c r="C24" s="4">
        <v>18</v>
      </c>
      <c r="D24" s="164">
        <v>100</v>
      </c>
      <c r="E24" s="164">
        <v>1</v>
      </c>
      <c r="F24" s="165">
        <v>9.52</v>
      </c>
      <c r="G24" s="165">
        <f t="shared" si="0"/>
        <v>9.52</v>
      </c>
      <c r="H24" s="165" t="s">
        <v>152</v>
      </c>
      <c r="K24" s="167" t="s">
        <v>153</v>
      </c>
      <c r="L24" s="4"/>
    </row>
    <row r="25" spans="1:12" ht="12.75" x14ac:dyDescent="0.2">
      <c r="A25" s="168">
        <v>20</v>
      </c>
      <c r="B25" s="4" t="s">
        <v>154</v>
      </c>
      <c r="C25" s="4">
        <v>74</v>
      </c>
      <c r="D25" s="164">
        <v>100</v>
      </c>
      <c r="E25" s="164">
        <v>1</v>
      </c>
      <c r="F25" s="165">
        <v>13.13</v>
      </c>
      <c r="G25" s="165">
        <f t="shared" si="0"/>
        <v>13.13</v>
      </c>
      <c r="H25" s="165" t="s">
        <v>155</v>
      </c>
      <c r="K25" s="170"/>
      <c r="L25" s="4"/>
    </row>
    <row r="26" spans="1:12" ht="12.75" x14ac:dyDescent="0.2">
      <c r="A26" s="168">
        <v>21</v>
      </c>
      <c r="B26" s="4" t="s">
        <v>156</v>
      </c>
      <c r="C26" s="4">
        <v>154</v>
      </c>
      <c r="D26" s="164">
        <v>100</v>
      </c>
      <c r="E26" s="164">
        <v>2</v>
      </c>
      <c r="F26" s="165">
        <v>9.77</v>
      </c>
      <c r="G26" s="165">
        <f t="shared" si="0"/>
        <v>19.54</v>
      </c>
      <c r="H26" s="165" t="s">
        <v>157</v>
      </c>
      <c r="K26" s="170"/>
      <c r="L26" s="4"/>
    </row>
    <row r="27" spans="1:12" ht="12.75" x14ac:dyDescent="0.2">
      <c r="A27" s="169"/>
      <c r="D27" s="164"/>
      <c r="E27" s="164"/>
      <c r="F27" s="165">
        <v>0</v>
      </c>
      <c r="G27" s="165">
        <f t="shared" si="0"/>
        <v>0</v>
      </c>
      <c r="H27" s="165"/>
      <c r="K27" s="170"/>
      <c r="L27" s="4"/>
    </row>
    <row r="28" spans="1:12" ht="12.75" x14ac:dyDescent="0.2">
      <c r="A28" s="171"/>
      <c r="B28" s="172"/>
      <c r="C28" s="172"/>
      <c r="D28" s="173"/>
      <c r="E28" s="173"/>
      <c r="F28" s="174">
        <v>0</v>
      </c>
      <c r="G28" s="174">
        <f t="shared" si="0"/>
        <v>0</v>
      </c>
      <c r="H28" s="174"/>
      <c r="I28" s="172"/>
      <c r="J28" s="172"/>
      <c r="K28" s="175"/>
      <c r="L28" s="4"/>
    </row>
    <row r="29" spans="1:12" ht="12.75" x14ac:dyDescent="0.2">
      <c r="D29" s="164"/>
      <c r="E29" s="164"/>
      <c r="F29" s="165"/>
      <c r="G29" s="165"/>
      <c r="H29" s="165"/>
      <c r="K29" s="4"/>
      <c r="L29" s="4"/>
    </row>
    <row r="30" spans="1:12" ht="12.75" x14ac:dyDescent="0.2">
      <c r="D30" s="164"/>
      <c r="E30" s="164"/>
      <c r="F30" s="165"/>
      <c r="G30" s="165"/>
      <c r="H30" s="165"/>
      <c r="K30" s="4"/>
      <c r="L30" s="4"/>
    </row>
    <row r="31" spans="1:12" ht="12.75" x14ac:dyDescent="0.2">
      <c r="D31" s="164"/>
      <c r="E31" s="164"/>
      <c r="F31" s="165"/>
      <c r="G31" s="165"/>
      <c r="H31" s="165"/>
      <c r="K31" s="4"/>
      <c r="L31" s="4"/>
    </row>
    <row r="32" spans="1:12" ht="12.75" x14ac:dyDescent="0.2">
      <c r="D32" s="164"/>
      <c r="E32" s="164"/>
      <c r="F32" s="165"/>
      <c r="G32" s="165"/>
      <c r="H32" s="165"/>
      <c r="K32" s="4"/>
      <c r="L32" s="4"/>
    </row>
    <row r="33" spans="4:12" ht="12.75" x14ac:dyDescent="0.2">
      <c r="D33" s="164"/>
      <c r="E33" s="164"/>
      <c r="F33" s="165"/>
      <c r="G33" s="165"/>
      <c r="H33" s="165"/>
      <c r="K33" s="4"/>
      <c r="L33" s="4"/>
    </row>
    <row r="34" spans="4:12" ht="12.75" x14ac:dyDescent="0.2">
      <c r="D34" s="164"/>
      <c r="E34" s="164"/>
      <c r="F34" s="165"/>
      <c r="G34" s="165"/>
      <c r="H34" s="165"/>
      <c r="K34" s="4"/>
      <c r="L34" s="4"/>
    </row>
    <row r="35" spans="4:12" ht="12.75" x14ac:dyDescent="0.2">
      <c r="D35" s="164"/>
      <c r="E35" s="164"/>
      <c r="F35" s="165"/>
      <c r="G35" s="165"/>
      <c r="H35" s="165"/>
      <c r="K35" s="4"/>
      <c r="L35" s="4"/>
    </row>
    <row r="36" spans="4:12" ht="12.75" x14ac:dyDescent="0.2">
      <c r="D36" s="164"/>
      <c r="E36" s="164"/>
      <c r="F36" s="165"/>
      <c r="G36" s="165"/>
      <c r="H36" s="165"/>
      <c r="K36" s="4"/>
      <c r="L36" s="4"/>
    </row>
    <row r="37" spans="4:12" ht="12.75" x14ac:dyDescent="0.2">
      <c r="D37" s="164"/>
      <c r="E37" s="164"/>
      <c r="F37" s="165"/>
      <c r="G37" s="165"/>
      <c r="H37" s="165"/>
      <c r="K37" s="4"/>
      <c r="L37" s="4"/>
    </row>
    <row r="38" spans="4:12" ht="12.75" x14ac:dyDescent="0.2">
      <c r="D38" s="164"/>
      <c r="E38" s="164"/>
      <c r="F38" s="165"/>
      <c r="G38" s="165"/>
      <c r="H38" s="165"/>
      <c r="K38" s="4"/>
      <c r="L38" s="4"/>
    </row>
    <row r="39" spans="4:12" ht="12.75" x14ac:dyDescent="0.2">
      <c r="D39" s="164"/>
      <c r="E39" s="164"/>
      <c r="F39" s="165"/>
      <c r="G39" s="165"/>
      <c r="H39" s="165"/>
      <c r="K39" s="4"/>
      <c r="L39" s="4"/>
    </row>
    <row r="40" spans="4:12" ht="12.75" x14ac:dyDescent="0.2">
      <c r="D40" s="164"/>
      <c r="E40" s="164"/>
      <c r="F40" s="165"/>
      <c r="G40" s="165"/>
      <c r="H40" s="165"/>
      <c r="K40" s="4"/>
      <c r="L40" s="4"/>
    </row>
    <row r="41" spans="4:12" ht="12.75" x14ac:dyDescent="0.2">
      <c r="D41" s="164"/>
      <c r="E41" s="164"/>
      <c r="F41" s="165"/>
      <c r="G41" s="165"/>
      <c r="H41" s="165"/>
      <c r="K41" s="4"/>
      <c r="L41" s="4"/>
    </row>
    <row r="42" spans="4:12" ht="12.75" x14ac:dyDescent="0.2">
      <c r="D42" s="164"/>
      <c r="E42" s="164"/>
      <c r="F42" s="165"/>
      <c r="G42" s="165"/>
      <c r="H42" s="165"/>
      <c r="K42" s="4"/>
      <c r="L42" s="4"/>
    </row>
    <row r="43" spans="4:12" ht="12.75" x14ac:dyDescent="0.2">
      <c r="D43" s="164"/>
      <c r="E43" s="164"/>
      <c r="F43" s="165"/>
      <c r="G43" s="165"/>
      <c r="H43" s="165"/>
      <c r="K43" s="4"/>
      <c r="L43" s="4"/>
    </row>
    <row r="44" spans="4:12" ht="12.75" x14ac:dyDescent="0.2">
      <c r="D44" s="164"/>
      <c r="E44" s="164"/>
      <c r="F44" s="165"/>
      <c r="G44" s="165"/>
      <c r="H44" s="165"/>
      <c r="K44" s="4"/>
      <c r="L44" s="4"/>
    </row>
    <row r="45" spans="4:12" ht="12.75" x14ac:dyDescent="0.2">
      <c r="D45" s="164"/>
      <c r="E45" s="164"/>
      <c r="F45" s="165"/>
      <c r="G45" s="165"/>
      <c r="H45" s="165"/>
      <c r="K45" s="4"/>
      <c r="L45" s="4"/>
    </row>
    <row r="46" spans="4:12" ht="12.75" x14ac:dyDescent="0.2">
      <c r="D46" s="164"/>
      <c r="E46" s="164"/>
      <c r="F46" s="165"/>
      <c r="G46" s="165"/>
      <c r="H46" s="165"/>
      <c r="K46" s="4"/>
      <c r="L46" s="4"/>
    </row>
    <row r="47" spans="4:12" ht="12.75" x14ac:dyDescent="0.2">
      <c r="D47" s="164"/>
      <c r="E47" s="164"/>
      <c r="F47" s="165"/>
      <c r="G47" s="165"/>
      <c r="H47" s="165"/>
      <c r="K47" s="4"/>
      <c r="L47" s="4"/>
    </row>
    <row r="48" spans="4:12" ht="12.75" x14ac:dyDescent="0.2">
      <c r="D48" s="164"/>
      <c r="E48" s="164"/>
      <c r="F48" s="165"/>
      <c r="G48" s="165"/>
      <c r="H48" s="165"/>
      <c r="K48" s="4"/>
      <c r="L48" s="4"/>
    </row>
    <row r="49" spans="4:12" ht="12.75" x14ac:dyDescent="0.2">
      <c r="D49" s="164"/>
      <c r="E49" s="164"/>
      <c r="F49" s="165"/>
      <c r="G49" s="165"/>
      <c r="H49" s="165"/>
      <c r="K49" s="4"/>
      <c r="L49" s="4"/>
    </row>
    <row r="50" spans="4:12" ht="12.75" x14ac:dyDescent="0.2">
      <c r="D50" s="164"/>
      <c r="E50" s="164"/>
      <c r="F50" s="165"/>
      <c r="G50" s="165"/>
      <c r="H50" s="165"/>
      <c r="K50" s="4"/>
      <c r="L50" s="4"/>
    </row>
    <row r="51" spans="4:12" ht="12.75" x14ac:dyDescent="0.2">
      <c r="D51" s="164"/>
      <c r="E51" s="164"/>
      <c r="F51" s="165"/>
      <c r="G51" s="165"/>
      <c r="H51" s="165"/>
      <c r="K51" s="4"/>
      <c r="L51" s="4"/>
    </row>
    <row r="52" spans="4:12" ht="12.75" x14ac:dyDescent="0.2">
      <c r="D52" s="164"/>
      <c r="E52" s="164"/>
      <c r="F52" s="165"/>
      <c r="G52" s="165"/>
      <c r="H52" s="165"/>
      <c r="K52" s="4"/>
      <c r="L52" s="4"/>
    </row>
    <row r="53" spans="4:12" ht="12.75" x14ac:dyDescent="0.2">
      <c r="D53" s="164"/>
      <c r="E53" s="164"/>
      <c r="F53" s="165"/>
      <c r="G53" s="165"/>
      <c r="H53" s="165"/>
      <c r="K53" s="4"/>
      <c r="L53" s="4"/>
    </row>
    <row r="54" spans="4:12" ht="12.75" x14ac:dyDescent="0.2">
      <c r="D54" s="164"/>
      <c r="E54" s="164"/>
      <c r="F54" s="165"/>
      <c r="G54" s="165"/>
      <c r="H54" s="165"/>
      <c r="K54" s="4"/>
      <c r="L54" s="4"/>
    </row>
    <row r="55" spans="4:12" ht="12.75" x14ac:dyDescent="0.2">
      <c r="D55" s="164"/>
      <c r="E55" s="164"/>
      <c r="F55" s="165"/>
      <c r="G55" s="165"/>
      <c r="H55" s="165"/>
      <c r="K55" s="4"/>
      <c r="L55" s="4"/>
    </row>
    <row r="56" spans="4:12" ht="12.75" x14ac:dyDescent="0.2">
      <c r="D56" s="164"/>
      <c r="E56" s="164"/>
      <c r="F56" s="165"/>
      <c r="G56" s="165"/>
      <c r="H56" s="165"/>
      <c r="K56" s="4"/>
      <c r="L56" s="4"/>
    </row>
    <row r="57" spans="4:12" ht="12.75" x14ac:dyDescent="0.2">
      <c r="D57" s="164"/>
      <c r="E57" s="164"/>
      <c r="F57" s="165"/>
      <c r="G57" s="165"/>
      <c r="H57" s="165"/>
      <c r="K57" s="4"/>
      <c r="L57" s="4"/>
    </row>
    <row r="58" spans="4:12" ht="12.75" x14ac:dyDescent="0.2">
      <c r="D58" s="164"/>
      <c r="E58" s="164"/>
      <c r="F58" s="165"/>
      <c r="G58" s="165"/>
      <c r="H58" s="165"/>
      <c r="K58" s="4"/>
      <c r="L58" s="4"/>
    </row>
    <row r="59" spans="4:12" ht="12.75" x14ac:dyDescent="0.2">
      <c r="D59" s="164"/>
      <c r="E59" s="164"/>
      <c r="F59" s="165"/>
      <c r="G59" s="165"/>
      <c r="H59" s="165"/>
      <c r="K59" s="4"/>
      <c r="L59" s="4"/>
    </row>
    <row r="60" spans="4:12" ht="12.75" x14ac:dyDescent="0.2">
      <c r="D60" s="164"/>
      <c r="E60" s="164"/>
      <c r="F60" s="165"/>
      <c r="G60" s="165"/>
      <c r="H60" s="165"/>
      <c r="K60" s="4"/>
      <c r="L60" s="4"/>
    </row>
    <row r="61" spans="4:12" ht="12.75" x14ac:dyDescent="0.2">
      <c r="D61" s="164"/>
      <c r="E61" s="164"/>
      <c r="F61" s="165"/>
      <c r="G61" s="165"/>
      <c r="H61" s="165"/>
      <c r="K61" s="4"/>
      <c r="L61" s="4"/>
    </row>
    <row r="62" spans="4:12" ht="12.75" x14ac:dyDescent="0.2">
      <c r="D62" s="164"/>
      <c r="E62" s="164"/>
      <c r="F62" s="165"/>
      <c r="G62" s="165"/>
      <c r="H62" s="165"/>
      <c r="K62" s="4"/>
      <c r="L62" s="4"/>
    </row>
    <row r="63" spans="4:12" ht="12.75" x14ac:dyDescent="0.2">
      <c r="D63" s="164"/>
      <c r="E63" s="164"/>
      <c r="F63" s="165"/>
      <c r="G63" s="165"/>
      <c r="H63" s="165"/>
      <c r="K63" s="4"/>
      <c r="L63" s="4"/>
    </row>
    <row r="64" spans="4:12" ht="12.75" x14ac:dyDescent="0.2">
      <c r="D64" s="164"/>
      <c r="E64" s="164"/>
      <c r="F64" s="165"/>
      <c r="G64" s="165"/>
      <c r="H64" s="165"/>
      <c r="K64" s="4"/>
      <c r="L64" s="4"/>
    </row>
    <row r="65" spans="4:12" ht="12.75" x14ac:dyDescent="0.2">
      <c r="D65" s="164"/>
      <c r="E65" s="164"/>
      <c r="F65" s="165"/>
      <c r="G65" s="165"/>
      <c r="H65" s="165"/>
      <c r="K65" s="4"/>
      <c r="L65" s="4"/>
    </row>
    <row r="66" spans="4:12" ht="12.75" x14ac:dyDescent="0.2">
      <c r="D66" s="164"/>
      <c r="E66" s="164"/>
      <c r="F66" s="165"/>
      <c r="G66" s="165"/>
      <c r="H66" s="165"/>
      <c r="K66" s="4"/>
      <c r="L66" s="4"/>
    </row>
    <row r="67" spans="4:12" ht="12.75" x14ac:dyDescent="0.2">
      <c r="D67" s="164"/>
      <c r="E67" s="164"/>
      <c r="F67" s="165"/>
      <c r="G67" s="165"/>
      <c r="H67" s="165"/>
      <c r="K67" s="4"/>
      <c r="L67" s="4"/>
    </row>
    <row r="68" spans="4:12" ht="12.75" x14ac:dyDescent="0.2">
      <c r="D68" s="164"/>
      <c r="E68" s="164"/>
      <c r="F68" s="165"/>
      <c r="G68" s="165"/>
      <c r="H68" s="165"/>
      <c r="K68" s="4"/>
      <c r="L68" s="4"/>
    </row>
    <row r="69" spans="4:12" ht="12.75" x14ac:dyDescent="0.2">
      <c r="D69" s="164"/>
      <c r="E69" s="164"/>
      <c r="F69" s="165"/>
      <c r="G69" s="165"/>
      <c r="H69" s="165"/>
      <c r="K69" s="4"/>
      <c r="L69" s="4"/>
    </row>
    <row r="70" spans="4:12" ht="12.75" x14ac:dyDescent="0.2">
      <c r="D70" s="164"/>
      <c r="E70" s="164"/>
      <c r="F70" s="165"/>
      <c r="G70" s="165"/>
      <c r="H70" s="165"/>
      <c r="K70" s="4"/>
      <c r="L70" s="4"/>
    </row>
    <row r="71" spans="4:12" ht="12.75" x14ac:dyDescent="0.2">
      <c r="D71" s="164"/>
      <c r="E71" s="164"/>
      <c r="F71" s="165"/>
      <c r="G71" s="165"/>
      <c r="H71" s="165"/>
      <c r="K71" s="4"/>
      <c r="L71" s="4"/>
    </row>
    <row r="72" spans="4:12" ht="12.75" x14ac:dyDescent="0.2">
      <c r="D72" s="164"/>
      <c r="E72" s="164"/>
      <c r="F72" s="165"/>
      <c r="G72" s="165"/>
      <c r="H72" s="165"/>
      <c r="K72" s="4"/>
      <c r="L72" s="4"/>
    </row>
    <row r="73" spans="4:12" ht="12.75" x14ac:dyDescent="0.2">
      <c r="D73" s="164"/>
      <c r="E73" s="164"/>
      <c r="F73" s="165"/>
      <c r="G73" s="165"/>
      <c r="H73" s="165"/>
      <c r="K73" s="4"/>
      <c r="L73" s="4"/>
    </row>
    <row r="74" spans="4:12" ht="12.75" x14ac:dyDescent="0.2">
      <c r="D74" s="164"/>
      <c r="E74" s="164"/>
      <c r="F74" s="165"/>
      <c r="G74" s="165"/>
      <c r="H74" s="165"/>
      <c r="K74" s="4"/>
      <c r="L74" s="4"/>
    </row>
    <row r="75" spans="4:12" ht="12.75" x14ac:dyDescent="0.2">
      <c r="D75" s="164"/>
      <c r="E75" s="164"/>
      <c r="F75" s="165"/>
      <c r="G75" s="165"/>
      <c r="H75" s="165"/>
      <c r="K75" s="4"/>
      <c r="L75" s="4"/>
    </row>
    <row r="76" spans="4:12" ht="12.75" x14ac:dyDescent="0.2">
      <c r="D76" s="164"/>
      <c r="E76" s="164"/>
      <c r="F76" s="165"/>
      <c r="G76" s="165"/>
      <c r="H76" s="165"/>
      <c r="K76" s="4"/>
      <c r="L76" s="4"/>
    </row>
    <row r="77" spans="4:12" ht="12.75" x14ac:dyDescent="0.2">
      <c r="D77" s="164"/>
      <c r="E77" s="164"/>
      <c r="F77" s="165"/>
      <c r="G77" s="165"/>
      <c r="H77" s="165"/>
      <c r="K77" s="4"/>
      <c r="L77" s="4"/>
    </row>
    <row r="78" spans="4:12" ht="12.75" x14ac:dyDescent="0.2">
      <c r="D78" s="164"/>
      <c r="E78" s="164"/>
      <c r="F78" s="165"/>
      <c r="G78" s="165"/>
      <c r="H78" s="165"/>
      <c r="K78" s="4"/>
      <c r="L78" s="4"/>
    </row>
    <row r="79" spans="4:12" ht="12.75" x14ac:dyDescent="0.2">
      <c r="D79" s="164"/>
      <c r="E79" s="164"/>
      <c r="F79" s="165"/>
      <c r="G79" s="165"/>
      <c r="H79" s="165"/>
      <c r="K79" s="4"/>
      <c r="L79" s="4"/>
    </row>
    <row r="80" spans="4:12" ht="12.75" x14ac:dyDescent="0.2">
      <c r="D80" s="164"/>
      <c r="E80" s="164"/>
      <c r="F80" s="165"/>
      <c r="G80" s="165"/>
      <c r="H80" s="165"/>
      <c r="K80" s="4"/>
      <c r="L80" s="4"/>
    </row>
    <row r="81" spans="4:12" ht="12.75" x14ac:dyDescent="0.2">
      <c r="D81" s="164"/>
      <c r="E81" s="164"/>
      <c r="F81" s="165"/>
      <c r="G81" s="165"/>
      <c r="H81" s="165"/>
      <c r="K81" s="4"/>
      <c r="L81" s="4"/>
    </row>
    <row r="82" spans="4:12" ht="12.75" x14ac:dyDescent="0.2">
      <c r="D82" s="164"/>
      <c r="E82" s="164"/>
      <c r="F82" s="165"/>
      <c r="G82" s="165"/>
      <c r="H82" s="165"/>
      <c r="K82" s="4"/>
      <c r="L82" s="4"/>
    </row>
    <row r="83" spans="4:12" ht="12.75" x14ac:dyDescent="0.2">
      <c r="D83" s="164"/>
      <c r="E83" s="164"/>
      <c r="F83" s="165"/>
      <c r="G83" s="165"/>
      <c r="H83" s="165"/>
      <c r="K83" s="4"/>
      <c r="L83" s="4"/>
    </row>
    <row r="84" spans="4:12" ht="12.75" x14ac:dyDescent="0.2">
      <c r="D84" s="164"/>
      <c r="E84" s="164"/>
      <c r="F84" s="165"/>
      <c r="G84" s="165"/>
      <c r="H84" s="165"/>
      <c r="K84" s="4"/>
      <c r="L84" s="4"/>
    </row>
    <row r="85" spans="4:12" ht="12.75" x14ac:dyDescent="0.2">
      <c r="D85" s="164"/>
      <c r="E85" s="164"/>
      <c r="F85" s="165"/>
      <c r="G85" s="165"/>
      <c r="H85" s="165"/>
      <c r="K85" s="4"/>
      <c r="L85" s="4"/>
    </row>
    <row r="86" spans="4:12" ht="12.75" x14ac:dyDescent="0.2">
      <c r="D86" s="164"/>
      <c r="E86" s="164"/>
      <c r="F86" s="165"/>
      <c r="G86" s="165"/>
      <c r="H86" s="165"/>
      <c r="K86" s="4"/>
      <c r="L86" s="4"/>
    </row>
    <row r="87" spans="4:12" ht="12.75" x14ac:dyDescent="0.2">
      <c r="D87" s="164"/>
      <c r="E87" s="164"/>
      <c r="F87" s="165"/>
      <c r="G87" s="165"/>
      <c r="H87" s="165"/>
      <c r="K87" s="4"/>
      <c r="L87" s="4"/>
    </row>
    <row r="88" spans="4:12" ht="12.75" x14ac:dyDescent="0.2">
      <c r="D88" s="164"/>
      <c r="E88" s="164"/>
      <c r="F88" s="165"/>
      <c r="G88" s="165"/>
      <c r="H88" s="165"/>
      <c r="K88" s="4"/>
      <c r="L88" s="4"/>
    </row>
    <row r="89" spans="4:12" ht="12.75" x14ac:dyDescent="0.2">
      <c r="D89" s="164"/>
      <c r="E89" s="164"/>
      <c r="F89" s="165"/>
      <c r="G89" s="165"/>
      <c r="H89" s="165"/>
      <c r="K89" s="4"/>
      <c r="L89" s="4"/>
    </row>
    <row r="90" spans="4:12" ht="12.75" x14ac:dyDescent="0.2">
      <c r="D90" s="164"/>
      <c r="E90" s="164"/>
      <c r="F90" s="165"/>
      <c r="G90" s="165"/>
      <c r="H90" s="165"/>
      <c r="K90" s="4"/>
      <c r="L90" s="4"/>
    </row>
    <row r="91" spans="4:12" ht="12.75" x14ac:dyDescent="0.2">
      <c r="D91" s="164"/>
      <c r="E91" s="164"/>
      <c r="F91" s="165"/>
      <c r="G91" s="165"/>
      <c r="H91" s="165"/>
      <c r="K91" s="4"/>
      <c r="L91" s="4"/>
    </row>
    <row r="92" spans="4:12" ht="12.75" x14ac:dyDescent="0.2">
      <c r="D92" s="164"/>
      <c r="E92" s="164"/>
      <c r="F92" s="165"/>
      <c r="G92" s="165"/>
      <c r="H92" s="165"/>
      <c r="K92" s="4"/>
      <c r="L92" s="4"/>
    </row>
    <row r="93" spans="4:12" ht="12.75" x14ac:dyDescent="0.2">
      <c r="D93" s="164"/>
      <c r="E93" s="164"/>
      <c r="F93" s="165"/>
      <c r="G93" s="165"/>
      <c r="H93" s="165"/>
      <c r="K93" s="4"/>
      <c r="L93" s="4"/>
    </row>
    <row r="94" spans="4:12" ht="12.75" x14ac:dyDescent="0.2">
      <c r="D94" s="164"/>
      <c r="E94" s="164"/>
      <c r="F94" s="165"/>
      <c r="G94" s="165"/>
      <c r="H94" s="165"/>
      <c r="K94" s="4"/>
      <c r="L94" s="4"/>
    </row>
    <row r="95" spans="4:12" ht="12.75" x14ac:dyDescent="0.2">
      <c r="D95" s="164"/>
      <c r="E95" s="164"/>
      <c r="F95" s="165"/>
      <c r="G95" s="165"/>
      <c r="H95" s="165"/>
      <c r="K95" s="4"/>
      <c r="L95" s="4"/>
    </row>
    <row r="96" spans="4:12" ht="12.75" x14ac:dyDescent="0.2">
      <c r="D96" s="164"/>
      <c r="E96" s="164"/>
      <c r="F96" s="165"/>
      <c r="G96" s="165"/>
      <c r="H96" s="165"/>
      <c r="K96" s="4"/>
      <c r="L96" s="4"/>
    </row>
    <row r="97" spans="4:12" ht="12.75" x14ac:dyDescent="0.2">
      <c r="D97" s="164"/>
      <c r="E97" s="164"/>
      <c r="F97" s="165"/>
      <c r="G97" s="165"/>
      <c r="H97" s="165"/>
      <c r="K97" s="4"/>
      <c r="L97" s="4"/>
    </row>
    <row r="98" spans="4:12" ht="12.75" x14ac:dyDescent="0.2">
      <c r="D98" s="164"/>
      <c r="E98" s="164"/>
      <c r="F98" s="165"/>
      <c r="G98" s="165"/>
      <c r="H98" s="165"/>
      <c r="K98" s="4"/>
      <c r="L98" s="4"/>
    </row>
    <row r="99" spans="4:12" ht="12.75" x14ac:dyDescent="0.2">
      <c r="D99" s="164"/>
      <c r="E99" s="164"/>
      <c r="F99" s="165"/>
      <c r="G99" s="165"/>
      <c r="H99" s="165"/>
      <c r="K99" s="4"/>
      <c r="L99" s="4"/>
    </row>
    <row r="100" spans="4:12" ht="12.75" x14ac:dyDescent="0.2">
      <c r="D100" s="164"/>
      <c r="E100" s="164"/>
      <c r="F100" s="165"/>
      <c r="G100" s="165"/>
      <c r="H100" s="165"/>
      <c r="K100" s="4"/>
      <c r="L100" s="4"/>
    </row>
    <row r="101" spans="4:12" ht="12.75" x14ac:dyDescent="0.2">
      <c r="D101" s="164"/>
      <c r="E101" s="164"/>
      <c r="F101" s="165"/>
      <c r="G101" s="165"/>
      <c r="H101" s="165"/>
      <c r="K101" s="4"/>
      <c r="L101" s="4"/>
    </row>
    <row r="102" spans="4:12" ht="12.75" x14ac:dyDescent="0.2">
      <c r="D102" s="164"/>
      <c r="E102" s="164"/>
      <c r="F102" s="165"/>
      <c r="G102" s="165"/>
      <c r="H102" s="165"/>
      <c r="K102" s="4"/>
      <c r="L102" s="4"/>
    </row>
    <row r="103" spans="4:12" ht="12.75" x14ac:dyDescent="0.2">
      <c r="D103" s="164"/>
      <c r="E103" s="164"/>
      <c r="F103" s="165"/>
      <c r="G103" s="165"/>
      <c r="H103" s="165"/>
      <c r="K103" s="4"/>
      <c r="L103" s="4"/>
    </row>
    <row r="104" spans="4:12" ht="12.75" x14ac:dyDescent="0.2">
      <c r="D104" s="164"/>
      <c r="E104" s="164"/>
      <c r="F104" s="165"/>
      <c r="G104" s="165"/>
      <c r="H104" s="165"/>
      <c r="K104" s="4"/>
      <c r="L104" s="4"/>
    </row>
    <row r="105" spans="4:12" ht="12.75" x14ac:dyDescent="0.2">
      <c r="D105" s="164"/>
      <c r="E105" s="164"/>
      <c r="F105" s="165"/>
      <c r="G105" s="165"/>
      <c r="H105" s="165"/>
      <c r="K105" s="4"/>
      <c r="L105" s="4"/>
    </row>
    <row r="106" spans="4:12" ht="12.75" x14ac:dyDescent="0.2">
      <c r="D106" s="164"/>
      <c r="E106" s="164"/>
      <c r="F106" s="165"/>
      <c r="G106" s="165"/>
      <c r="H106" s="165"/>
      <c r="K106" s="4"/>
      <c r="L106" s="4"/>
    </row>
    <row r="107" spans="4:12" ht="12.75" x14ac:dyDescent="0.2">
      <c r="D107" s="164"/>
      <c r="E107" s="164"/>
      <c r="F107" s="165"/>
      <c r="G107" s="165"/>
      <c r="H107" s="165"/>
      <c r="K107" s="4"/>
      <c r="L107" s="4"/>
    </row>
    <row r="108" spans="4:12" ht="12.75" x14ac:dyDescent="0.2">
      <c r="D108" s="164"/>
      <c r="E108" s="164"/>
      <c r="F108" s="165"/>
      <c r="G108" s="165"/>
      <c r="H108" s="165"/>
      <c r="K108" s="4"/>
      <c r="L108" s="4"/>
    </row>
    <row r="109" spans="4:12" ht="12.75" x14ac:dyDescent="0.2">
      <c r="D109" s="164"/>
      <c r="E109" s="164"/>
      <c r="F109" s="165"/>
      <c r="G109" s="165"/>
      <c r="H109" s="165"/>
      <c r="K109" s="4"/>
      <c r="L109" s="4"/>
    </row>
    <row r="110" spans="4:12" ht="12.75" x14ac:dyDescent="0.2">
      <c r="D110" s="164"/>
      <c r="E110" s="164"/>
      <c r="F110" s="165"/>
      <c r="G110" s="165"/>
      <c r="H110" s="165"/>
      <c r="K110" s="4"/>
      <c r="L110" s="4"/>
    </row>
    <row r="111" spans="4:12" ht="12.75" x14ac:dyDescent="0.2">
      <c r="D111" s="164"/>
      <c r="E111" s="164"/>
      <c r="F111" s="165"/>
      <c r="G111" s="165"/>
      <c r="H111" s="165"/>
      <c r="K111" s="4"/>
      <c r="L111" s="4"/>
    </row>
    <row r="112" spans="4:12" ht="12.75" x14ac:dyDescent="0.2">
      <c r="D112" s="164"/>
      <c r="E112" s="164"/>
      <c r="F112" s="165"/>
      <c r="G112" s="165"/>
      <c r="H112" s="165"/>
      <c r="K112" s="4"/>
      <c r="L112" s="4"/>
    </row>
    <row r="113" spans="4:12" ht="12.75" x14ac:dyDescent="0.2">
      <c r="D113" s="164"/>
      <c r="E113" s="164"/>
      <c r="F113" s="165"/>
      <c r="G113" s="165"/>
      <c r="H113" s="165"/>
      <c r="K113" s="4"/>
      <c r="L113" s="4"/>
    </row>
    <row r="114" spans="4:12" ht="12.75" x14ac:dyDescent="0.2">
      <c r="D114" s="164"/>
      <c r="E114" s="164"/>
      <c r="F114" s="165"/>
      <c r="G114" s="165"/>
      <c r="H114" s="165"/>
      <c r="K114" s="4"/>
      <c r="L114" s="4"/>
    </row>
    <row r="115" spans="4:12" ht="12.75" x14ac:dyDescent="0.2">
      <c r="D115" s="164"/>
      <c r="E115" s="164"/>
      <c r="F115" s="165"/>
      <c r="G115" s="165"/>
      <c r="H115" s="165"/>
      <c r="K115" s="4"/>
      <c r="L115" s="4"/>
    </row>
    <row r="116" spans="4:12" ht="12.75" x14ac:dyDescent="0.2">
      <c r="D116" s="164"/>
      <c r="E116" s="164"/>
      <c r="F116" s="165"/>
      <c r="G116" s="165"/>
      <c r="H116" s="165"/>
      <c r="K116" s="4"/>
      <c r="L116" s="4"/>
    </row>
    <row r="117" spans="4:12" ht="12.75" x14ac:dyDescent="0.2">
      <c r="D117" s="164"/>
      <c r="E117" s="164"/>
      <c r="F117" s="165"/>
      <c r="G117" s="165"/>
      <c r="H117" s="165"/>
      <c r="K117" s="4"/>
      <c r="L117" s="4"/>
    </row>
    <row r="118" spans="4:12" ht="12.75" x14ac:dyDescent="0.2">
      <c r="D118" s="164"/>
      <c r="E118" s="164"/>
      <c r="F118" s="165"/>
      <c r="G118" s="165"/>
      <c r="H118" s="165"/>
      <c r="K118" s="4"/>
      <c r="L118" s="4"/>
    </row>
    <row r="119" spans="4:12" ht="12.75" x14ac:dyDescent="0.2">
      <c r="D119" s="164"/>
      <c r="E119" s="164"/>
      <c r="F119" s="165"/>
      <c r="G119" s="165"/>
      <c r="H119" s="165"/>
      <c r="K119" s="4"/>
      <c r="L119" s="4"/>
    </row>
    <row r="120" spans="4:12" ht="12.75" x14ac:dyDescent="0.2">
      <c r="D120" s="164"/>
      <c r="E120" s="164"/>
      <c r="F120" s="165"/>
      <c r="G120" s="165"/>
      <c r="H120" s="165"/>
      <c r="K120" s="4"/>
      <c r="L120" s="4"/>
    </row>
    <row r="121" spans="4:12" ht="12.75" x14ac:dyDescent="0.2">
      <c r="D121" s="164"/>
      <c r="E121" s="164"/>
      <c r="F121" s="165"/>
      <c r="G121" s="165"/>
      <c r="H121" s="165"/>
      <c r="K121" s="4"/>
      <c r="L121" s="4"/>
    </row>
    <row r="122" spans="4:12" ht="12.75" x14ac:dyDescent="0.2">
      <c r="D122" s="164"/>
      <c r="E122" s="164"/>
      <c r="F122" s="165"/>
      <c r="G122" s="165"/>
      <c r="H122" s="165"/>
      <c r="K122" s="4"/>
      <c r="L122" s="4"/>
    </row>
    <row r="123" spans="4:12" ht="12.75" x14ac:dyDescent="0.2">
      <c r="D123" s="164"/>
      <c r="E123" s="164"/>
      <c r="F123" s="165"/>
      <c r="G123" s="165"/>
      <c r="H123" s="165"/>
      <c r="K123" s="4"/>
      <c r="L123" s="4"/>
    </row>
    <row r="124" spans="4:12" ht="12.75" x14ac:dyDescent="0.2">
      <c r="D124" s="164"/>
      <c r="E124" s="164"/>
      <c r="F124" s="165"/>
      <c r="G124" s="165"/>
      <c r="H124" s="165"/>
      <c r="K124" s="4"/>
      <c r="L124" s="4"/>
    </row>
    <row r="125" spans="4:12" ht="12.75" x14ac:dyDescent="0.2">
      <c r="D125" s="164"/>
      <c r="E125" s="164"/>
      <c r="F125" s="165"/>
      <c r="G125" s="165"/>
      <c r="H125" s="165"/>
      <c r="K125" s="4"/>
      <c r="L125" s="4"/>
    </row>
    <row r="126" spans="4:12" ht="12.75" x14ac:dyDescent="0.2">
      <c r="D126" s="164"/>
      <c r="E126" s="164"/>
      <c r="F126" s="165"/>
      <c r="G126" s="165"/>
      <c r="H126" s="165"/>
      <c r="K126" s="4"/>
      <c r="L126" s="4"/>
    </row>
    <row r="127" spans="4:12" ht="12.75" x14ac:dyDescent="0.2">
      <c r="D127" s="164"/>
      <c r="E127" s="164"/>
      <c r="F127" s="165"/>
      <c r="G127" s="165"/>
      <c r="H127" s="165"/>
      <c r="K127" s="4"/>
      <c r="L127" s="4"/>
    </row>
    <row r="128" spans="4:12" ht="12.75" x14ac:dyDescent="0.2">
      <c r="D128" s="164"/>
      <c r="E128" s="164"/>
      <c r="F128" s="165"/>
      <c r="G128" s="165"/>
      <c r="H128" s="165"/>
      <c r="K128" s="4"/>
      <c r="L128" s="4"/>
    </row>
    <row r="129" spans="4:12" ht="12.75" x14ac:dyDescent="0.2">
      <c r="D129" s="164"/>
      <c r="E129" s="164"/>
      <c r="F129" s="165"/>
      <c r="G129" s="165"/>
      <c r="H129" s="165"/>
      <c r="K129" s="4"/>
      <c r="L129" s="4"/>
    </row>
    <row r="130" spans="4:12" ht="12.75" x14ac:dyDescent="0.2">
      <c r="D130" s="164"/>
      <c r="E130" s="164"/>
      <c r="F130" s="165"/>
      <c r="G130" s="165"/>
      <c r="H130" s="165"/>
      <c r="K130" s="4"/>
      <c r="L130" s="4"/>
    </row>
    <row r="131" spans="4:12" ht="12.75" x14ac:dyDescent="0.2">
      <c r="D131" s="164"/>
      <c r="E131" s="164"/>
      <c r="F131" s="165"/>
      <c r="G131" s="165"/>
      <c r="H131" s="165"/>
      <c r="K131" s="4"/>
      <c r="L131" s="4"/>
    </row>
    <row r="132" spans="4:12" ht="12.75" x14ac:dyDescent="0.2">
      <c r="D132" s="164"/>
      <c r="E132" s="164"/>
      <c r="F132" s="165"/>
      <c r="G132" s="165"/>
      <c r="H132" s="165"/>
      <c r="K132" s="4"/>
      <c r="L132" s="4"/>
    </row>
    <row r="133" spans="4:12" ht="12.75" x14ac:dyDescent="0.2">
      <c r="D133" s="164"/>
      <c r="E133" s="164"/>
      <c r="F133" s="165"/>
      <c r="G133" s="165"/>
      <c r="H133" s="165"/>
      <c r="K133" s="4"/>
      <c r="L133" s="4"/>
    </row>
    <row r="134" spans="4:12" ht="12.75" x14ac:dyDescent="0.2">
      <c r="D134" s="164"/>
      <c r="E134" s="164"/>
      <c r="F134" s="165"/>
      <c r="G134" s="165"/>
      <c r="H134" s="165"/>
      <c r="K134" s="4"/>
      <c r="L134" s="4"/>
    </row>
    <row r="135" spans="4:12" ht="12.75" x14ac:dyDescent="0.2">
      <c r="D135" s="164"/>
      <c r="E135" s="164"/>
      <c r="F135" s="165"/>
      <c r="G135" s="165"/>
      <c r="H135" s="165"/>
      <c r="K135" s="4"/>
      <c r="L135" s="4"/>
    </row>
    <row r="136" spans="4:12" ht="12.75" x14ac:dyDescent="0.2">
      <c r="D136" s="164"/>
      <c r="E136" s="164"/>
      <c r="F136" s="165"/>
      <c r="G136" s="165"/>
      <c r="H136" s="165"/>
      <c r="K136" s="4"/>
      <c r="L136" s="4"/>
    </row>
    <row r="137" spans="4:12" ht="12.75" x14ac:dyDescent="0.2">
      <c r="D137" s="164"/>
      <c r="E137" s="164"/>
      <c r="F137" s="165"/>
      <c r="G137" s="165"/>
      <c r="H137" s="165"/>
      <c r="K137" s="4"/>
      <c r="L137" s="4"/>
    </row>
    <row r="138" spans="4:12" ht="12.75" x14ac:dyDescent="0.2">
      <c r="D138" s="164"/>
      <c r="E138" s="164"/>
      <c r="F138" s="165"/>
      <c r="G138" s="165"/>
      <c r="H138" s="165"/>
      <c r="K138" s="4"/>
      <c r="L138" s="4"/>
    </row>
    <row r="139" spans="4:12" ht="12.75" x14ac:dyDescent="0.2">
      <c r="D139" s="164"/>
      <c r="E139" s="164"/>
      <c r="F139" s="165"/>
      <c r="G139" s="165"/>
      <c r="H139" s="165"/>
      <c r="K139" s="4"/>
      <c r="L139" s="4"/>
    </row>
    <row r="140" spans="4:12" ht="12.75" x14ac:dyDescent="0.2">
      <c r="D140" s="164"/>
      <c r="E140" s="164"/>
      <c r="F140" s="165"/>
      <c r="G140" s="165"/>
      <c r="H140" s="165"/>
      <c r="K140" s="4"/>
      <c r="L140" s="4"/>
    </row>
    <row r="141" spans="4:12" ht="12.75" x14ac:dyDescent="0.2">
      <c r="D141" s="164"/>
      <c r="E141" s="164"/>
      <c r="F141" s="165"/>
      <c r="G141" s="165"/>
      <c r="H141" s="165"/>
      <c r="K141" s="4"/>
      <c r="L141" s="4"/>
    </row>
    <row r="142" spans="4:12" ht="12.75" x14ac:dyDescent="0.2">
      <c r="D142" s="164"/>
      <c r="E142" s="164"/>
      <c r="F142" s="165"/>
      <c r="G142" s="165"/>
      <c r="H142" s="165"/>
      <c r="K142" s="4"/>
      <c r="L142" s="4"/>
    </row>
    <row r="143" spans="4:12" ht="12.75" x14ac:dyDescent="0.2">
      <c r="D143" s="164"/>
      <c r="E143" s="164"/>
      <c r="F143" s="165"/>
      <c r="G143" s="165"/>
      <c r="H143" s="165"/>
      <c r="K143" s="4"/>
      <c r="L143" s="4"/>
    </row>
    <row r="144" spans="4:12" ht="12.75" x14ac:dyDescent="0.2">
      <c r="D144" s="164"/>
      <c r="E144" s="164"/>
      <c r="F144" s="165"/>
      <c r="G144" s="165"/>
      <c r="H144" s="165"/>
      <c r="K144" s="4"/>
      <c r="L144" s="4"/>
    </row>
    <row r="145" spans="4:12" ht="12.75" x14ac:dyDescent="0.2">
      <c r="D145" s="164"/>
      <c r="E145" s="164"/>
      <c r="F145" s="165"/>
      <c r="G145" s="165"/>
      <c r="H145" s="165"/>
      <c r="K145" s="4"/>
      <c r="L145" s="4"/>
    </row>
    <row r="146" spans="4:12" ht="12.75" x14ac:dyDescent="0.2">
      <c r="D146" s="164"/>
      <c r="E146" s="164"/>
      <c r="F146" s="165"/>
      <c r="G146" s="165"/>
      <c r="H146" s="165"/>
      <c r="K146" s="4"/>
      <c r="L146" s="4"/>
    </row>
    <row r="147" spans="4:12" ht="12.75" x14ac:dyDescent="0.2">
      <c r="D147" s="164"/>
      <c r="E147" s="164"/>
      <c r="F147" s="165"/>
      <c r="G147" s="165"/>
      <c r="H147" s="165"/>
      <c r="K147" s="4"/>
      <c r="L147" s="4"/>
    </row>
    <row r="148" spans="4:12" ht="12.75" x14ac:dyDescent="0.2">
      <c r="D148" s="164"/>
      <c r="E148" s="164"/>
      <c r="F148" s="165"/>
      <c r="G148" s="165"/>
      <c r="H148" s="165"/>
      <c r="K148" s="4"/>
      <c r="L148" s="4"/>
    </row>
    <row r="149" spans="4:12" ht="12.75" x14ac:dyDescent="0.2">
      <c r="D149" s="164"/>
      <c r="E149" s="164"/>
      <c r="F149" s="165"/>
      <c r="G149" s="165"/>
      <c r="H149" s="165"/>
      <c r="K149" s="4"/>
      <c r="L149" s="4"/>
    </row>
    <row r="150" spans="4:12" ht="12.75" x14ac:dyDescent="0.2">
      <c r="D150" s="164"/>
      <c r="E150" s="164"/>
      <c r="F150" s="165"/>
      <c r="G150" s="165"/>
      <c r="H150" s="165"/>
      <c r="K150" s="4"/>
      <c r="L150" s="4"/>
    </row>
    <row r="151" spans="4:12" ht="12.75" x14ac:dyDescent="0.2">
      <c r="D151" s="164"/>
      <c r="E151" s="164"/>
      <c r="F151" s="165"/>
      <c r="G151" s="165"/>
      <c r="H151" s="165"/>
      <c r="K151" s="4"/>
      <c r="L151" s="4"/>
    </row>
    <row r="152" spans="4:12" ht="12.75" x14ac:dyDescent="0.2">
      <c r="D152" s="164"/>
      <c r="E152" s="164"/>
      <c r="F152" s="165"/>
      <c r="G152" s="165"/>
      <c r="H152" s="165"/>
      <c r="K152" s="4"/>
      <c r="L152" s="4"/>
    </row>
    <row r="153" spans="4:12" ht="12.75" x14ac:dyDescent="0.2">
      <c r="D153" s="164"/>
      <c r="E153" s="164"/>
      <c r="F153" s="165"/>
      <c r="G153" s="165"/>
      <c r="H153" s="165"/>
      <c r="K153" s="4"/>
      <c r="L153" s="4"/>
    </row>
    <row r="154" spans="4:12" ht="12.75" x14ac:dyDescent="0.2">
      <c r="D154" s="164"/>
      <c r="E154" s="164"/>
      <c r="F154" s="165"/>
      <c r="G154" s="165"/>
      <c r="H154" s="165"/>
      <c r="K154" s="4"/>
      <c r="L154" s="4"/>
    </row>
    <row r="155" spans="4:12" ht="12.75" x14ac:dyDescent="0.2">
      <c r="D155" s="164"/>
      <c r="E155" s="164"/>
      <c r="F155" s="165"/>
      <c r="G155" s="165"/>
      <c r="H155" s="165"/>
      <c r="K155" s="4"/>
      <c r="L155" s="4"/>
    </row>
    <row r="156" spans="4:12" ht="12.75" x14ac:dyDescent="0.2">
      <c r="D156" s="164"/>
      <c r="E156" s="164"/>
      <c r="F156" s="165"/>
      <c r="G156" s="165"/>
      <c r="H156" s="165"/>
      <c r="K156" s="4"/>
      <c r="L156" s="4"/>
    </row>
    <row r="157" spans="4:12" ht="12.75" x14ac:dyDescent="0.2">
      <c r="D157" s="164"/>
      <c r="E157" s="164"/>
      <c r="F157" s="165"/>
      <c r="G157" s="165"/>
      <c r="H157" s="165"/>
      <c r="K157" s="4"/>
      <c r="L157" s="4"/>
    </row>
    <row r="158" spans="4:12" ht="12.75" x14ac:dyDescent="0.2">
      <c r="D158" s="164"/>
      <c r="E158" s="164"/>
      <c r="F158" s="165"/>
      <c r="G158" s="165"/>
      <c r="H158" s="165"/>
      <c r="K158" s="4"/>
      <c r="L158" s="4"/>
    </row>
    <row r="159" spans="4:12" ht="12.75" x14ac:dyDescent="0.2">
      <c r="D159" s="164"/>
      <c r="E159" s="164"/>
      <c r="F159" s="165"/>
      <c r="G159" s="165"/>
      <c r="H159" s="165"/>
      <c r="K159" s="4"/>
      <c r="L159" s="4"/>
    </row>
    <row r="160" spans="4:12" ht="12.75" x14ac:dyDescent="0.2">
      <c r="D160" s="164"/>
      <c r="E160" s="164"/>
      <c r="F160" s="165"/>
      <c r="G160" s="165"/>
      <c r="H160" s="165"/>
      <c r="K160" s="4"/>
      <c r="L160" s="4"/>
    </row>
    <row r="161" spans="4:12" ht="12.75" x14ac:dyDescent="0.2">
      <c r="D161" s="164"/>
      <c r="E161" s="164"/>
      <c r="F161" s="165"/>
      <c r="G161" s="165"/>
      <c r="H161" s="165"/>
      <c r="K161" s="4"/>
      <c r="L161" s="4"/>
    </row>
    <row r="162" spans="4:12" ht="12.75" x14ac:dyDescent="0.2">
      <c r="D162" s="164"/>
      <c r="E162" s="164"/>
      <c r="F162" s="165"/>
      <c r="G162" s="165"/>
      <c r="H162" s="165"/>
      <c r="K162" s="4"/>
      <c r="L162" s="4"/>
    </row>
    <row r="163" spans="4:12" ht="12.75" x14ac:dyDescent="0.2">
      <c r="D163" s="164"/>
      <c r="E163" s="164"/>
      <c r="F163" s="165"/>
      <c r="G163" s="165"/>
      <c r="H163" s="165"/>
      <c r="K163" s="4"/>
      <c r="L163" s="4"/>
    </row>
    <row r="164" spans="4:12" ht="12.75" x14ac:dyDescent="0.2">
      <c r="D164" s="164"/>
      <c r="E164" s="164"/>
      <c r="F164" s="165"/>
      <c r="G164" s="165"/>
      <c r="H164" s="165"/>
      <c r="K164" s="4"/>
      <c r="L164" s="4"/>
    </row>
    <row r="165" spans="4:12" ht="12.75" x14ac:dyDescent="0.2">
      <c r="D165" s="164"/>
      <c r="E165" s="164"/>
      <c r="F165" s="165"/>
      <c r="G165" s="165"/>
      <c r="H165" s="165"/>
      <c r="K165" s="4"/>
      <c r="L165" s="4"/>
    </row>
    <row r="166" spans="4:12" ht="12.75" x14ac:dyDescent="0.2">
      <c r="D166" s="164"/>
      <c r="E166" s="164"/>
      <c r="F166" s="165"/>
      <c r="G166" s="165"/>
      <c r="H166" s="165"/>
      <c r="K166" s="4"/>
      <c r="L166" s="4"/>
    </row>
    <row r="167" spans="4:12" ht="12.75" x14ac:dyDescent="0.2">
      <c r="D167" s="164"/>
      <c r="E167" s="164"/>
      <c r="F167" s="165"/>
      <c r="G167" s="165"/>
      <c r="H167" s="165"/>
      <c r="K167" s="4"/>
      <c r="L167" s="4"/>
    </row>
    <row r="168" spans="4:12" ht="12.75" x14ac:dyDescent="0.2">
      <c r="D168" s="164"/>
      <c r="E168" s="164"/>
      <c r="F168" s="165"/>
      <c r="G168" s="165"/>
      <c r="H168" s="165"/>
      <c r="K168" s="4"/>
      <c r="L168" s="4"/>
    </row>
    <row r="169" spans="4:12" ht="12.75" x14ac:dyDescent="0.2">
      <c r="D169" s="164"/>
      <c r="E169" s="164"/>
      <c r="F169" s="165"/>
      <c r="G169" s="165"/>
      <c r="H169" s="165"/>
      <c r="K169" s="4"/>
      <c r="L169" s="4"/>
    </row>
    <row r="170" spans="4:12" ht="12.75" x14ac:dyDescent="0.2">
      <c r="D170" s="164"/>
      <c r="E170" s="164"/>
      <c r="F170" s="165"/>
      <c r="G170" s="165"/>
      <c r="H170" s="165"/>
      <c r="K170" s="4"/>
      <c r="L170" s="4"/>
    </row>
    <row r="171" spans="4:12" ht="12.75" x14ac:dyDescent="0.2">
      <c r="D171" s="164"/>
      <c r="E171" s="164"/>
      <c r="F171" s="165"/>
      <c r="G171" s="165"/>
      <c r="H171" s="165"/>
      <c r="K171" s="4"/>
      <c r="L171" s="4"/>
    </row>
    <row r="172" spans="4:12" ht="12.75" x14ac:dyDescent="0.2">
      <c r="D172" s="164"/>
      <c r="E172" s="164"/>
      <c r="F172" s="165"/>
      <c r="G172" s="165"/>
      <c r="H172" s="165"/>
      <c r="K172" s="4"/>
      <c r="L172" s="4"/>
    </row>
    <row r="173" spans="4:12" ht="12.75" x14ac:dyDescent="0.2">
      <c r="D173" s="164"/>
      <c r="E173" s="164"/>
      <c r="F173" s="165"/>
      <c r="G173" s="165"/>
      <c r="H173" s="165"/>
      <c r="K173" s="4"/>
      <c r="L173" s="4"/>
    </row>
    <row r="174" spans="4:12" ht="12.75" x14ac:dyDescent="0.2">
      <c r="D174" s="164"/>
      <c r="E174" s="164"/>
      <c r="F174" s="165"/>
      <c r="G174" s="165"/>
      <c r="H174" s="165"/>
      <c r="K174" s="4"/>
      <c r="L174" s="4"/>
    </row>
    <row r="175" spans="4:12" ht="12.75" x14ac:dyDescent="0.2">
      <c r="D175" s="164"/>
      <c r="E175" s="164"/>
      <c r="F175" s="165"/>
      <c r="G175" s="165"/>
      <c r="H175" s="165"/>
      <c r="K175" s="4"/>
      <c r="L175" s="4"/>
    </row>
    <row r="176" spans="4:12" ht="12.75" x14ac:dyDescent="0.2">
      <c r="D176" s="164"/>
      <c r="E176" s="164"/>
      <c r="F176" s="165"/>
      <c r="G176" s="165"/>
      <c r="H176" s="165"/>
      <c r="K176" s="4"/>
      <c r="L176" s="4"/>
    </row>
    <row r="177" spans="4:12" ht="12.75" x14ac:dyDescent="0.2">
      <c r="D177" s="164"/>
      <c r="E177" s="164"/>
      <c r="F177" s="165"/>
      <c r="G177" s="165"/>
      <c r="H177" s="165"/>
      <c r="K177" s="4"/>
      <c r="L177" s="4"/>
    </row>
    <row r="178" spans="4:12" ht="12.75" x14ac:dyDescent="0.2">
      <c r="D178" s="164"/>
      <c r="E178" s="164"/>
      <c r="F178" s="165"/>
      <c r="G178" s="165"/>
      <c r="H178" s="165"/>
      <c r="K178" s="4"/>
      <c r="L178" s="4"/>
    </row>
    <row r="179" spans="4:12" ht="12.75" x14ac:dyDescent="0.2">
      <c r="D179" s="164"/>
      <c r="E179" s="164"/>
      <c r="F179" s="165"/>
      <c r="G179" s="165"/>
      <c r="H179" s="165"/>
      <c r="K179" s="4"/>
      <c r="L179" s="4"/>
    </row>
    <row r="180" spans="4:12" ht="12.75" x14ac:dyDescent="0.2">
      <c r="D180" s="164"/>
      <c r="E180" s="164"/>
      <c r="F180" s="165"/>
      <c r="G180" s="165"/>
      <c r="H180" s="165"/>
      <c r="K180" s="4"/>
      <c r="L180" s="4"/>
    </row>
    <row r="181" spans="4:12" ht="12.75" x14ac:dyDescent="0.2">
      <c r="D181" s="164"/>
      <c r="E181" s="164"/>
      <c r="F181" s="165"/>
      <c r="G181" s="165"/>
      <c r="H181" s="165"/>
      <c r="K181" s="4"/>
      <c r="L181" s="4"/>
    </row>
    <row r="182" spans="4:12" ht="12.75" x14ac:dyDescent="0.2">
      <c r="D182" s="164"/>
      <c r="E182" s="164"/>
      <c r="F182" s="165"/>
      <c r="G182" s="165"/>
      <c r="H182" s="165"/>
      <c r="K182" s="4"/>
      <c r="L182" s="4"/>
    </row>
    <row r="183" spans="4:12" ht="12.75" x14ac:dyDescent="0.2">
      <c r="D183" s="164"/>
      <c r="E183" s="164"/>
      <c r="F183" s="165"/>
      <c r="G183" s="165"/>
      <c r="H183" s="165"/>
      <c r="K183" s="4"/>
      <c r="L183" s="4"/>
    </row>
    <row r="184" spans="4:12" ht="12.75" x14ac:dyDescent="0.2">
      <c r="D184" s="164"/>
      <c r="E184" s="164"/>
      <c r="F184" s="165"/>
      <c r="G184" s="165"/>
      <c r="H184" s="165"/>
      <c r="K184" s="4"/>
      <c r="L184" s="4"/>
    </row>
    <row r="185" spans="4:12" ht="12.75" x14ac:dyDescent="0.2">
      <c r="D185" s="164"/>
      <c r="E185" s="164"/>
      <c r="F185" s="165"/>
      <c r="G185" s="165"/>
      <c r="H185" s="165"/>
      <c r="K185" s="4"/>
      <c r="L185" s="4"/>
    </row>
    <row r="186" spans="4:12" ht="12.75" x14ac:dyDescent="0.2">
      <c r="D186" s="164"/>
      <c r="E186" s="164"/>
      <c r="F186" s="165"/>
      <c r="G186" s="165"/>
      <c r="H186" s="165"/>
      <c r="K186" s="4"/>
      <c r="L186" s="4"/>
    </row>
    <row r="187" spans="4:12" ht="12.75" x14ac:dyDescent="0.2">
      <c r="D187" s="164"/>
      <c r="E187" s="164"/>
      <c r="F187" s="165"/>
      <c r="G187" s="165"/>
      <c r="H187" s="165"/>
      <c r="K187" s="4"/>
      <c r="L187" s="4"/>
    </row>
    <row r="188" spans="4:12" ht="12.75" x14ac:dyDescent="0.2">
      <c r="D188" s="164"/>
      <c r="E188" s="164"/>
      <c r="F188" s="165"/>
      <c r="G188" s="165"/>
      <c r="H188" s="165"/>
      <c r="K188" s="4"/>
      <c r="L188" s="4"/>
    </row>
    <row r="189" spans="4:12" ht="12.75" x14ac:dyDescent="0.2">
      <c r="D189" s="164"/>
      <c r="E189" s="164"/>
      <c r="F189" s="165"/>
      <c r="G189" s="165"/>
      <c r="H189" s="165"/>
      <c r="K189" s="4"/>
      <c r="L189" s="4"/>
    </row>
    <row r="190" spans="4:12" ht="12.75" x14ac:dyDescent="0.2">
      <c r="D190" s="164"/>
      <c r="E190" s="164"/>
      <c r="F190" s="165"/>
      <c r="G190" s="165"/>
      <c r="H190" s="165"/>
      <c r="K190" s="4"/>
      <c r="L190" s="4"/>
    </row>
    <row r="191" spans="4:12" ht="12.75" x14ac:dyDescent="0.2">
      <c r="D191" s="164"/>
      <c r="E191" s="164"/>
      <c r="F191" s="165"/>
      <c r="G191" s="165"/>
      <c r="H191" s="165"/>
      <c r="K191" s="4"/>
      <c r="L191" s="4"/>
    </row>
    <row r="192" spans="4:12" ht="12.75" x14ac:dyDescent="0.2">
      <c r="D192" s="164"/>
      <c r="E192" s="164"/>
      <c r="F192" s="165"/>
      <c r="G192" s="165"/>
      <c r="H192" s="165"/>
      <c r="K192" s="4"/>
      <c r="L192" s="4"/>
    </row>
    <row r="193" spans="4:12" ht="12.75" x14ac:dyDescent="0.2">
      <c r="D193" s="164"/>
      <c r="E193" s="164"/>
      <c r="F193" s="165"/>
      <c r="G193" s="165"/>
      <c r="H193" s="165"/>
      <c r="K193" s="4"/>
      <c r="L193" s="4"/>
    </row>
    <row r="194" spans="4:12" ht="12.75" x14ac:dyDescent="0.2">
      <c r="D194" s="164"/>
      <c r="E194" s="164"/>
      <c r="F194" s="165"/>
      <c r="G194" s="165"/>
      <c r="H194" s="165"/>
      <c r="K194" s="4"/>
      <c r="L194" s="4"/>
    </row>
    <row r="195" spans="4:12" ht="12.75" x14ac:dyDescent="0.2">
      <c r="D195" s="164"/>
      <c r="E195" s="164"/>
      <c r="F195" s="165"/>
      <c r="G195" s="165"/>
      <c r="H195" s="165"/>
      <c r="K195" s="4"/>
      <c r="L195" s="4"/>
    </row>
    <row r="196" spans="4:12" ht="12.75" x14ac:dyDescent="0.2">
      <c r="D196" s="164"/>
      <c r="E196" s="164"/>
      <c r="F196" s="165"/>
      <c r="G196" s="165"/>
      <c r="H196" s="165"/>
      <c r="K196" s="4"/>
      <c r="L196" s="4"/>
    </row>
    <row r="197" spans="4:12" ht="12.75" x14ac:dyDescent="0.2">
      <c r="D197" s="164"/>
      <c r="E197" s="164"/>
      <c r="F197" s="165"/>
      <c r="G197" s="165"/>
      <c r="H197" s="165"/>
      <c r="K197" s="4"/>
      <c r="L197" s="4"/>
    </row>
    <row r="198" spans="4:12" ht="12.75" x14ac:dyDescent="0.2">
      <c r="D198" s="164"/>
      <c r="E198" s="164"/>
      <c r="F198" s="165"/>
      <c r="G198" s="165"/>
      <c r="H198" s="165"/>
      <c r="K198" s="4"/>
      <c r="L198" s="4"/>
    </row>
    <row r="199" spans="4:12" ht="12.75" x14ac:dyDescent="0.2">
      <c r="D199" s="164"/>
      <c r="E199" s="164"/>
      <c r="F199" s="165"/>
      <c r="G199" s="165"/>
      <c r="H199" s="165"/>
      <c r="K199" s="4"/>
      <c r="L199" s="4"/>
    </row>
    <row r="200" spans="4:12" ht="12.75" x14ac:dyDescent="0.2">
      <c r="D200" s="164"/>
      <c r="E200" s="164"/>
      <c r="F200" s="165"/>
      <c r="G200" s="165"/>
      <c r="H200" s="165"/>
      <c r="K200" s="4"/>
      <c r="L200" s="4"/>
    </row>
    <row r="201" spans="4:12" ht="12.75" x14ac:dyDescent="0.2">
      <c r="D201" s="164"/>
      <c r="E201" s="164"/>
      <c r="F201" s="165"/>
      <c r="G201" s="165"/>
      <c r="H201" s="165"/>
      <c r="K201" s="4"/>
      <c r="L201" s="4"/>
    </row>
    <row r="202" spans="4:12" ht="12.75" x14ac:dyDescent="0.2">
      <c r="D202" s="164"/>
      <c r="E202" s="164"/>
      <c r="F202" s="165"/>
      <c r="G202" s="165"/>
      <c r="H202" s="165"/>
      <c r="K202" s="4"/>
      <c r="L202" s="4"/>
    </row>
    <row r="203" spans="4:12" ht="12.75" x14ac:dyDescent="0.2">
      <c r="D203" s="164"/>
      <c r="E203" s="164"/>
      <c r="F203" s="165"/>
      <c r="G203" s="165"/>
      <c r="H203" s="165"/>
      <c r="K203" s="4"/>
      <c r="L203" s="4"/>
    </row>
    <row r="204" spans="4:12" ht="12.75" x14ac:dyDescent="0.2">
      <c r="D204" s="164"/>
      <c r="E204" s="164"/>
      <c r="F204" s="165"/>
      <c r="G204" s="165"/>
      <c r="H204" s="165"/>
      <c r="K204" s="4"/>
      <c r="L204" s="4"/>
    </row>
    <row r="205" spans="4:12" ht="12.75" x14ac:dyDescent="0.2">
      <c r="D205" s="164"/>
      <c r="E205" s="164"/>
      <c r="F205" s="165"/>
      <c r="G205" s="165"/>
      <c r="H205" s="165"/>
      <c r="K205" s="4"/>
      <c r="L205" s="4"/>
    </row>
    <row r="206" spans="4:12" ht="12.75" x14ac:dyDescent="0.2">
      <c r="D206" s="164"/>
      <c r="E206" s="164"/>
      <c r="F206" s="165"/>
      <c r="G206" s="165"/>
      <c r="H206" s="165"/>
      <c r="K206" s="4"/>
      <c r="L206" s="4"/>
    </row>
    <row r="207" spans="4:12" ht="12.75" x14ac:dyDescent="0.2">
      <c r="D207" s="164"/>
      <c r="E207" s="164"/>
      <c r="F207" s="165"/>
      <c r="G207" s="165"/>
      <c r="H207" s="165"/>
      <c r="K207" s="4"/>
      <c r="L207" s="4"/>
    </row>
    <row r="208" spans="4:12" ht="12.75" x14ac:dyDescent="0.2">
      <c r="D208" s="164"/>
      <c r="E208" s="164"/>
      <c r="F208" s="165"/>
      <c r="G208" s="165"/>
      <c r="H208" s="165"/>
      <c r="K208" s="4"/>
      <c r="L208" s="4"/>
    </row>
    <row r="209" spans="4:12" ht="12.75" x14ac:dyDescent="0.2">
      <c r="D209" s="164"/>
      <c r="E209" s="164"/>
      <c r="F209" s="165"/>
      <c r="G209" s="165"/>
      <c r="H209" s="165"/>
      <c r="K209" s="4"/>
      <c r="L209" s="4"/>
    </row>
    <row r="210" spans="4:12" ht="12.75" x14ac:dyDescent="0.2">
      <c r="D210" s="164"/>
      <c r="E210" s="164"/>
      <c r="F210" s="165"/>
      <c r="G210" s="165"/>
      <c r="H210" s="165"/>
      <c r="K210" s="4"/>
      <c r="L210" s="4"/>
    </row>
    <row r="211" spans="4:12" ht="12.75" x14ac:dyDescent="0.2">
      <c r="D211" s="164"/>
      <c r="E211" s="164"/>
      <c r="F211" s="165"/>
      <c r="G211" s="165"/>
      <c r="H211" s="165"/>
      <c r="K211" s="4"/>
      <c r="L211" s="4"/>
    </row>
    <row r="212" spans="4:12" ht="12.75" x14ac:dyDescent="0.2">
      <c r="D212" s="164"/>
      <c r="E212" s="164"/>
      <c r="F212" s="165"/>
      <c r="G212" s="165"/>
      <c r="H212" s="165"/>
      <c r="K212" s="4"/>
      <c r="L212" s="4"/>
    </row>
    <row r="213" spans="4:12" ht="12.75" x14ac:dyDescent="0.2">
      <c r="D213" s="164"/>
      <c r="E213" s="164"/>
      <c r="F213" s="165"/>
      <c r="G213" s="165"/>
      <c r="H213" s="165"/>
      <c r="K213" s="4"/>
      <c r="L213" s="4"/>
    </row>
    <row r="214" spans="4:12" ht="12.75" x14ac:dyDescent="0.2">
      <c r="D214" s="164"/>
      <c r="E214" s="164"/>
      <c r="F214" s="165"/>
      <c r="G214" s="165"/>
      <c r="H214" s="165"/>
      <c r="K214" s="4"/>
      <c r="L214" s="4"/>
    </row>
    <row r="215" spans="4:12" ht="12.75" x14ac:dyDescent="0.2">
      <c r="D215" s="164"/>
      <c r="E215" s="164"/>
      <c r="F215" s="165"/>
      <c r="G215" s="165"/>
      <c r="H215" s="165"/>
      <c r="K215" s="4"/>
      <c r="L215" s="4"/>
    </row>
    <row r="216" spans="4:12" ht="12.75" x14ac:dyDescent="0.2">
      <c r="D216" s="164"/>
      <c r="E216" s="164"/>
      <c r="F216" s="165"/>
      <c r="G216" s="165"/>
      <c r="H216" s="165"/>
      <c r="K216" s="4"/>
      <c r="L216" s="4"/>
    </row>
    <row r="217" spans="4:12" ht="12.75" x14ac:dyDescent="0.2">
      <c r="D217" s="164"/>
      <c r="E217" s="164"/>
      <c r="F217" s="165"/>
      <c r="G217" s="165"/>
      <c r="H217" s="165"/>
      <c r="K217" s="4"/>
      <c r="L217" s="4"/>
    </row>
    <row r="218" spans="4:12" ht="12.75" x14ac:dyDescent="0.2">
      <c r="D218" s="164"/>
      <c r="E218" s="164"/>
      <c r="F218" s="165"/>
      <c r="G218" s="165"/>
      <c r="H218" s="165"/>
      <c r="K218" s="4"/>
      <c r="L218" s="4"/>
    </row>
    <row r="219" spans="4:12" ht="12.75" x14ac:dyDescent="0.2">
      <c r="D219" s="164"/>
      <c r="E219" s="164"/>
      <c r="F219" s="165"/>
      <c r="G219" s="165"/>
      <c r="H219" s="165"/>
      <c r="K219" s="4"/>
      <c r="L219" s="4"/>
    </row>
    <row r="220" spans="4:12" ht="12.75" x14ac:dyDescent="0.2">
      <c r="D220" s="164"/>
      <c r="E220" s="164"/>
      <c r="F220" s="165"/>
      <c r="G220" s="165"/>
      <c r="H220" s="165"/>
      <c r="K220" s="4"/>
      <c r="L220" s="4"/>
    </row>
    <row r="221" spans="4:12" ht="12.75" x14ac:dyDescent="0.2">
      <c r="D221" s="164"/>
      <c r="E221" s="164"/>
      <c r="F221" s="165"/>
      <c r="G221" s="165"/>
      <c r="H221" s="165"/>
      <c r="K221" s="4"/>
      <c r="L221" s="4"/>
    </row>
    <row r="222" spans="4:12" ht="12.75" x14ac:dyDescent="0.2">
      <c r="D222" s="164"/>
      <c r="E222" s="164"/>
      <c r="F222" s="165"/>
      <c r="G222" s="165"/>
      <c r="H222" s="165"/>
      <c r="K222" s="4"/>
      <c r="L222" s="4"/>
    </row>
    <row r="223" spans="4:12" ht="12.75" x14ac:dyDescent="0.2">
      <c r="D223" s="164"/>
      <c r="E223" s="164"/>
      <c r="F223" s="165"/>
      <c r="G223" s="165"/>
      <c r="H223" s="165"/>
      <c r="K223" s="4"/>
      <c r="L223" s="4"/>
    </row>
    <row r="224" spans="4:12" ht="12.75" x14ac:dyDescent="0.2">
      <c r="D224" s="164"/>
      <c r="E224" s="164"/>
      <c r="F224" s="165"/>
      <c r="G224" s="165"/>
      <c r="H224" s="165"/>
      <c r="K224" s="4"/>
      <c r="L224" s="4"/>
    </row>
    <row r="225" spans="4:12" ht="12.75" x14ac:dyDescent="0.2">
      <c r="D225" s="164"/>
      <c r="E225" s="164"/>
      <c r="F225" s="165"/>
      <c r="G225" s="165"/>
      <c r="H225" s="165"/>
      <c r="K225" s="4"/>
      <c r="L225" s="4"/>
    </row>
    <row r="226" spans="4:12" ht="12.75" x14ac:dyDescent="0.2">
      <c r="D226" s="164"/>
      <c r="E226" s="164"/>
      <c r="F226" s="165"/>
      <c r="G226" s="165"/>
      <c r="H226" s="165"/>
      <c r="K226" s="4"/>
      <c r="L226" s="4"/>
    </row>
    <row r="227" spans="4:12" ht="12.75" x14ac:dyDescent="0.2">
      <c r="D227" s="164"/>
      <c r="E227" s="164"/>
      <c r="F227" s="165"/>
      <c r="G227" s="165"/>
      <c r="H227" s="165"/>
      <c r="K227" s="4"/>
      <c r="L227" s="4"/>
    </row>
    <row r="228" spans="4:12" ht="12.75" x14ac:dyDescent="0.2">
      <c r="D228" s="164"/>
      <c r="E228" s="164"/>
      <c r="F228" s="165"/>
      <c r="G228" s="165"/>
      <c r="H228" s="165"/>
      <c r="K228" s="4"/>
      <c r="L228" s="4"/>
    </row>
    <row r="229" spans="4:12" ht="12.75" x14ac:dyDescent="0.2">
      <c r="D229" s="164"/>
      <c r="E229" s="164"/>
      <c r="F229" s="165"/>
      <c r="G229" s="165"/>
      <c r="H229" s="165"/>
      <c r="K229" s="4"/>
      <c r="L229" s="4"/>
    </row>
    <row r="230" spans="4:12" ht="12.75" x14ac:dyDescent="0.2">
      <c r="D230" s="164"/>
      <c r="E230" s="164"/>
      <c r="F230" s="165"/>
      <c r="G230" s="165"/>
      <c r="H230" s="165"/>
      <c r="K230" s="4"/>
      <c r="L230" s="4"/>
    </row>
    <row r="231" spans="4:12" ht="12.75" x14ac:dyDescent="0.2">
      <c r="D231" s="164"/>
      <c r="E231" s="164"/>
      <c r="F231" s="165"/>
      <c r="G231" s="165"/>
      <c r="H231" s="165"/>
      <c r="K231" s="4"/>
      <c r="L231" s="4"/>
    </row>
    <row r="232" spans="4:12" ht="12.75" x14ac:dyDescent="0.2">
      <c r="D232" s="164"/>
      <c r="E232" s="164"/>
      <c r="F232" s="165"/>
      <c r="G232" s="165"/>
      <c r="H232" s="165"/>
      <c r="K232" s="4"/>
      <c r="L232" s="4"/>
    </row>
    <row r="233" spans="4:12" ht="12.75" x14ac:dyDescent="0.2">
      <c r="D233" s="164"/>
      <c r="E233" s="164"/>
      <c r="F233" s="165"/>
      <c r="G233" s="165"/>
      <c r="H233" s="165"/>
      <c r="K233" s="4"/>
      <c r="L233" s="4"/>
    </row>
    <row r="234" spans="4:12" ht="12.75" x14ac:dyDescent="0.2">
      <c r="D234" s="164"/>
      <c r="E234" s="164"/>
      <c r="F234" s="165"/>
      <c r="G234" s="165"/>
      <c r="H234" s="165"/>
      <c r="K234" s="4"/>
      <c r="L234" s="4"/>
    </row>
    <row r="235" spans="4:12" ht="12.75" x14ac:dyDescent="0.2">
      <c r="D235" s="164"/>
      <c r="E235" s="164"/>
      <c r="F235" s="165"/>
      <c r="G235" s="165"/>
      <c r="H235" s="165"/>
      <c r="K235" s="4"/>
      <c r="L235" s="4"/>
    </row>
    <row r="236" spans="4:12" ht="12.75" x14ac:dyDescent="0.2">
      <c r="D236" s="164"/>
      <c r="E236" s="164"/>
      <c r="F236" s="165"/>
      <c r="G236" s="165"/>
      <c r="H236" s="165"/>
      <c r="K236" s="4"/>
      <c r="L236" s="4"/>
    </row>
    <row r="237" spans="4:12" ht="12.75" x14ac:dyDescent="0.2">
      <c r="D237" s="164"/>
      <c r="E237" s="164"/>
      <c r="F237" s="165"/>
      <c r="G237" s="165"/>
      <c r="H237" s="165"/>
      <c r="K237" s="4"/>
      <c r="L237" s="4"/>
    </row>
    <row r="238" spans="4:12" ht="12.75" x14ac:dyDescent="0.2">
      <c r="D238" s="164"/>
      <c r="E238" s="164"/>
      <c r="F238" s="165"/>
      <c r="G238" s="165"/>
      <c r="H238" s="165"/>
      <c r="K238" s="4"/>
      <c r="L238" s="4"/>
    </row>
    <row r="239" spans="4:12" ht="12.75" x14ac:dyDescent="0.2">
      <c r="D239" s="164"/>
      <c r="E239" s="164"/>
      <c r="F239" s="165"/>
      <c r="G239" s="165"/>
      <c r="H239" s="165"/>
      <c r="K239" s="4"/>
      <c r="L239" s="4"/>
    </row>
    <row r="240" spans="4:12" ht="12.75" x14ac:dyDescent="0.2">
      <c r="D240" s="164"/>
      <c r="E240" s="164"/>
      <c r="F240" s="165"/>
      <c r="G240" s="165"/>
      <c r="H240" s="165"/>
      <c r="K240" s="4"/>
      <c r="L240" s="4"/>
    </row>
    <row r="241" spans="4:12" ht="12.75" x14ac:dyDescent="0.2">
      <c r="D241" s="164"/>
      <c r="E241" s="164"/>
      <c r="F241" s="165"/>
      <c r="G241" s="165"/>
      <c r="H241" s="165"/>
      <c r="K241" s="4"/>
      <c r="L241" s="4"/>
    </row>
    <row r="242" spans="4:12" ht="12.75" x14ac:dyDescent="0.2">
      <c r="D242" s="164"/>
      <c r="E242" s="164"/>
      <c r="F242" s="165"/>
      <c r="G242" s="165"/>
      <c r="H242" s="165"/>
      <c r="K242" s="4"/>
      <c r="L242" s="4"/>
    </row>
    <row r="243" spans="4:12" ht="12.75" x14ac:dyDescent="0.2">
      <c r="D243" s="164"/>
      <c r="E243" s="164"/>
      <c r="F243" s="165"/>
      <c r="G243" s="165"/>
      <c r="H243" s="165"/>
      <c r="K243" s="4"/>
      <c r="L243" s="4"/>
    </row>
    <row r="244" spans="4:12" ht="12.75" x14ac:dyDescent="0.2">
      <c r="D244" s="164"/>
      <c r="E244" s="164"/>
      <c r="F244" s="165"/>
      <c r="G244" s="165"/>
      <c r="H244" s="165"/>
      <c r="K244" s="4"/>
      <c r="L244" s="4"/>
    </row>
    <row r="245" spans="4:12" ht="12.75" x14ac:dyDescent="0.2">
      <c r="D245" s="164"/>
      <c r="E245" s="164"/>
      <c r="F245" s="165"/>
      <c r="G245" s="165"/>
      <c r="H245" s="165"/>
      <c r="K245" s="4"/>
      <c r="L245" s="4"/>
    </row>
    <row r="246" spans="4:12" ht="12.75" x14ac:dyDescent="0.2">
      <c r="D246" s="164"/>
      <c r="E246" s="164"/>
      <c r="F246" s="165"/>
      <c r="G246" s="165"/>
      <c r="H246" s="165"/>
      <c r="K246" s="4"/>
      <c r="L246" s="4"/>
    </row>
    <row r="247" spans="4:12" ht="12.75" x14ac:dyDescent="0.2">
      <c r="D247" s="164"/>
      <c r="E247" s="164"/>
      <c r="F247" s="165"/>
      <c r="G247" s="165"/>
      <c r="H247" s="165"/>
      <c r="K247" s="4"/>
      <c r="L247" s="4"/>
    </row>
    <row r="248" spans="4:12" ht="12.75" x14ac:dyDescent="0.2">
      <c r="D248" s="164"/>
      <c r="E248" s="164"/>
      <c r="F248" s="165"/>
      <c r="G248" s="165"/>
      <c r="H248" s="165"/>
      <c r="K248" s="4"/>
      <c r="L248" s="4"/>
    </row>
    <row r="249" spans="4:12" ht="12.75" x14ac:dyDescent="0.2">
      <c r="D249" s="164"/>
      <c r="E249" s="164"/>
      <c r="F249" s="165"/>
      <c r="G249" s="165"/>
      <c r="H249" s="165"/>
      <c r="K249" s="4"/>
      <c r="L249" s="4"/>
    </row>
    <row r="250" spans="4:12" ht="12.75" x14ac:dyDescent="0.2">
      <c r="D250" s="164"/>
      <c r="E250" s="164"/>
      <c r="F250" s="165"/>
      <c r="G250" s="165"/>
      <c r="H250" s="165"/>
      <c r="K250" s="4"/>
      <c r="L250" s="4"/>
    </row>
    <row r="251" spans="4:12" ht="12.75" x14ac:dyDescent="0.2">
      <c r="D251" s="164"/>
      <c r="E251" s="164"/>
      <c r="F251" s="165"/>
      <c r="G251" s="165"/>
      <c r="H251" s="165"/>
      <c r="K251" s="4"/>
      <c r="L251" s="4"/>
    </row>
    <row r="252" spans="4:12" ht="12.75" x14ac:dyDescent="0.2">
      <c r="D252" s="164"/>
      <c r="E252" s="164"/>
      <c r="F252" s="165"/>
      <c r="G252" s="165"/>
      <c r="H252" s="165"/>
      <c r="K252" s="4"/>
      <c r="L252" s="4"/>
    </row>
    <row r="253" spans="4:12" ht="12.75" x14ac:dyDescent="0.2">
      <c r="D253" s="164"/>
      <c r="E253" s="164"/>
      <c r="F253" s="165"/>
      <c r="G253" s="165"/>
      <c r="H253" s="165"/>
      <c r="K253" s="4"/>
      <c r="L253" s="4"/>
    </row>
    <row r="254" spans="4:12" ht="12.75" x14ac:dyDescent="0.2">
      <c r="D254" s="164"/>
      <c r="E254" s="164"/>
      <c r="F254" s="165"/>
      <c r="G254" s="165"/>
      <c r="H254" s="165"/>
      <c r="K254" s="4"/>
      <c r="L254" s="4"/>
    </row>
    <row r="255" spans="4:12" ht="12.75" x14ac:dyDescent="0.2">
      <c r="D255" s="164"/>
      <c r="E255" s="164"/>
      <c r="F255" s="165"/>
      <c r="G255" s="165"/>
      <c r="H255" s="165"/>
      <c r="K255" s="4"/>
      <c r="L255" s="4"/>
    </row>
    <row r="256" spans="4:12" ht="12.75" x14ac:dyDescent="0.2">
      <c r="D256" s="164"/>
      <c r="E256" s="164"/>
      <c r="F256" s="165"/>
      <c r="G256" s="165"/>
      <c r="H256" s="165"/>
      <c r="K256" s="4"/>
      <c r="L256" s="4"/>
    </row>
    <row r="257" spans="4:12" ht="12.75" x14ac:dyDescent="0.2">
      <c r="D257" s="164"/>
      <c r="E257" s="164"/>
      <c r="F257" s="165"/>
      <c r="G257" s="165"/>
      <c r="H257" s="165"/>
      <c r="K257" s="4"/>
      <c r="L257" s="4"/>
    </row>
    <row r="258" spans="4:12" ht="12.75" x14ac:dyDescent="0.2">
      <c r="D258" s="164"/>
      <c r="E258" s="164"/>
      <c r="F258" s="165"/>
      <c r="G258" s="165"/>
      <c r="H258" s="165"/>
      <c r="K258" s="4"/>
      <c r="L258" s="4"/>
    </row>
    <row r="259" spans="4:12" ht="12.75" x14ac:dyDescent="0.2">
      <c r="D259" s="164"/>
      <c r="E259" s="164"/>
      <c r="F259" s="165"/>
      <c r="G259" s="165"/>
      <c r="H259" s="165"/>
      <c r="K259" s="4"/>
      <c r="L259" s="4"/>
    </row>
    <row r="260" spans="4:12" ht="12.75" x14ac:dyDescent="0.2">
      <c r="D260" s="164"/>
      <c r="E260" s="164"/>
      <c r="F260" s="165"/>
      <c r="G260" s="165"/>
      <c r="H260" s="165"/>
      <c r="K260" s="4"/>
      <c r="L260" s="4"/>
    </row>
    <row r="261" spans="4:12" ht="12.75" x14ac:dyDescent="0.2">
      <c r="D261" s="164"/>
      <c r="E261" s="164"/>
      <c r="F261" s="165"/>
      <c r="G261" s="165"/>
      <c r="H261" s="165"/>
      <c r="K261" s="4"/>
      <c r="L261" s="4"/>
    </row>
    <row r="262" spans="4:12" ht="12.75" x14ac:dyDescent="0.2">
      <c r="D262" s="164"/>
      <c r="E262" s="164"/>
      <c r="F262" s="165"/>
      <c r="G262" s="165"/>
      <c r="H262" s="165"/>
      <c r="K262" s="4"/>
      <c r="L262" s="4"/>
    </row>
    <row r="263" spans="4:12" ht="12.75" x14ac:dyDescent="0.2">
      <c r="D263" s="164"/>
      <c r="E263" s="164"/>
      <c r="F263" s="165"/>
      <c r="G263" s="165"/>
      <c r="H263" s="165"/>
      <c r="K263" s="4"/>
      <c r="L263" s="4"/>
    </row>
    <row r="264" spans="4:12" ht="12.75" x14ac:dyDescent="0.2">
      <c r="D264" s="164"/>
      <c r="E264" s="164"/>
      <c r="F264" s="165"/>
      <c r="G264" s="165"/>
      <c r="H264" s="165"/>
      <c r="K264" s="4"/>
      <c r="L264" s="4"/>
    </row>
    <row r="265" spans="4:12" ht="12.75" x14ac:dyDescent="0.2">
      <c r="D265" s="164"/>
      <c r="E265" s="164"/>
      <c r="F265" s="165"/>
      <c r="G265" s="165"/>
      <c r="H265" s="165"/>
      <c r="K265" s="4"/>
      <c r="L265" s="4"/>
    </row>
    <row r="266" spans="4:12" ht="12.75" x14ac:dyDescent="0.2">
      <c r="D266" s="164"/>
      <c r="E266" s="164"/>
      <c r="F266" s="165"/>
      <c r="G266" s="165"/>
      <c r="H266" s="165"/>
      <c r="K266" s="4"/>
      <c r="L266" s="4"/>
    </row>
    <row r="267" spans="4:12" ht="12.75" x14ac:dyDescent="0.2">
      <c r="D267" s="164"/>
      <c r="E267" s="164"/>
      <c r="F267" s="165"/>
      <c r="G267" s="165"/>
      <c r="H267" s="165"/>
      <c r="K267" s="4"/>
      <c r="L267" s="4"/>
    </row>
    <row r="268" spans="4:12" ht="12.75" x14ac:dyDescent="0.2">
      <c r="D268" s="164"/>
      <c r="E268" s="164"/>
      <c r="F268" s="165"/>
      <c r="G268" s="165"/>
      <c r="H268" s="165"/>
      <c r="K268" s="4"/>
      <c r="L268" s="4"/>
    </row>
    <row r="269" spans="4:12" ht="12.75" x14ac:dyDescent="0.2">
      <c r="D269" s="164"/>
      <c r="E269" s="164"/>
      <c r="F269" s="165"/>
      <c r="G269" s="165"/>
      <c r="H269" s="165"/>
      <c r="K269" s="4"/>
      <c r="L269" s="4"/>
    </row>
    <row r="270" spans="4:12" ht="12.75" x14ac:dyDescent="0.2">
      <c r="D270" s="164"/>
      <c r="E270" s="164"/>
      <c r="F270" s="165"/>
      <c r="G270" s="165"/>
      <c r="H270" s="165"/>
      <c r="K270" s="4"/>
      <c r="L270" s="4"/>
    </row>
    <row r="271" spans="4:12" ht="12.75" x14ac:dyDescent="0.2">
      <c r="D271" s="164"/>
      <c r="E271" s="164"/>
      <c r="F271" s="165"/>
      <c r="G271" s="165"/>
      <c r="H271" s="165"/>
      <c r="K271" s="4"/>
      <c r="L271" s="4"/>
    </row>
    <row r="272" spans="4:12" ht="12.75" x14ac:dyDescent="0.2">
      <c r="D272" s="164"/>
      <c r="E272" s="164"/>
      <c r="F272" s="165"/>
      <c r="G272" s="165"/>
      <c r="H272" s="165"/>
      <c r="K272" s="4"/>
      <c r="L272" s="4"/>
    </row>
    <row r="273" spans="4:12" ht="12.75" x14ac:dyDescent="0.2">
      <c r="D273" s="164"/>
      <c r="E273" s="164"/>
      <c r="F273" s="165"/>
      <c r="G273" s="165"/>
      <c r="H273" s="165"/>
      <c r="K273" s="4"/>
      <c r="L273" s="4"/>
    </row>
    <row r="274" spans="4:12" ht="12.75" x14ac:dyDescent="0.2">
      <c r="D274" s="164"/>
      <c r="E274" s="164"/>
      <c r="F274" s="165"/>
      <c r="G274" s="165"/>
      <c r="H274" s="165"/>
      <c r="K274" s="4"/>
      <c r="L274" s="4"/>
    </row>
    <row r="275" spans="4:12" ht="12.75" x14ac:dyDescent="0.2">
      <c r="D275" s="164"/>
      <c r="E275" s="164"/>
      <c r="F275" s="165"/>
      <c r="G275" s="165"/>
      <c r="H275" s="165"/>
      <c r="K275" s="4"/>
      <c r="L275" s="4"/>
    </row>
    <row r="276" spans="4:12" ht="12.75" x14ac:dyDescent="0.2">
      <c r="D276" s="164"/>
      <c r="E276" s="164"/>
      <c r="F276" s="165"/>
      <c r="G276" s="165"/>
      <c r="H276" s="165"/>
      <c r="K276" s="4"/>
      <c r="L276" s="4"/>
    </row>
    <row r="277" spans="4:12" ht="12.75" x14ac:dyDescent="0.2">
      <c r="D277" s="164"/>
      <c r="E277" s="164"/>
      <c r="F277" s="165"/>
      <c r="G277" s="165"/>
      <c r="H277" s="165"/>
      <c r="K277" s="4"/>
      <c r="L277" s="4"/>
    </row>
    <row r="278" spans="4:12" ht="12.75" x14ac:dyDescent="0.2">
      <c r="D278" s="164"/>
      <c r="E278" s="164"/>
      <c r="F278" s="165"/>
      <c r="G278" s="165"/>
      <c r="H278" s="165"/>
      <c r="K278" s="4"/>
      <c r="L278" s="4"/>
    </row>
    <row r="279" spans="4:12" ht="12.75" x14ac:dyDescent="0.2">
      <c r="D279" s="164"/>
      <c r="E279" s="164"/>
      <c r="F279" s="165"/>
      <c r="G279" s="165"/>
      <c r="H279" s="165"/>
      <c r="K279" s="4"/>
      <c r="L279" s="4"/>
    </row>
    <row r="280" spans="4:12" ht="12.75" x14ac:dyDescent="0.2">
      <c r="D280" s="164"/>
      <c r="E280" s="164"/>
      <c r="F280" s="165"/>
      <c r="G280" s="165"/>
      <c r="H280" s="165"/>
      <c r="K280" s="4"/>
      <c r="L280" s="4"/>
    </row>
    <row r="281" spans="4:12" ht="12.75" x14ac:dyDescent="0.2">
      <c r="D281" s="164"/>
      <c r="E281" s="164"/>
      <c r="F281" s="165"/>
      <c r="G281" s="165"/>
      <c r="H281" s="165"/>
      <c r="K281" s="4"/>
      <c r="L281" s="4"/>
    </row>
    <row r="282" spans="4:12" ht="12.75" x14ac:dyDescent="0.2">
      <c r="D282" s="164"/>
      <c r="E282" s="164"/>
      <c r="F282" s="165"/>
      <c r="G282" s="165"/>
      <c r="H282" s="165"/>
      <c r="K282" s="4"/>
      <c r="L282" s="4"/>
    </row>
    <row r="283" spans="4:12" ht="12.75" x14ac:dyDescent="0.2">
      <c r="D283" s="164"/>
      <c r="E283" s="164"/>
      <c r="F283" s="165"/>
      <c r="G283" s="165"/>
      <c r="H283" s="165"/>
      <c r="K283" s="4"/>
      <c r="L283" s="4"/>
    </row>
    <row r="284" spans="4:12" ht="12.75" x14ac:dyDescent="0.2">
      <c r="D284" s="164"/>
      <c r="E284" s="164"/>
      <c r="F284" s="165"/>
      <c r="G284" s="165"/>
      <c r="H284" s="165"/>
      <c r="K284" s="4"/>
      <c r="L284" s="4"/>
    </row>
    <row r="285" spans="4:12" ht="12.75" x14ac:dyDescent="0.2">
      <c r="D285" s="164"/>
      <c r="E285" s="164"/>
      <c r="F285" s="165"/>
      <c r="G285" s="165"/>
      <c r="H285" s="165"/>
      <c r="K285" s="4"/>
      <c r="L285" s="4"/>
    </row>
    <row r="286" spans="4:12" ht="12.75" x14ac:dyDescent="0.2">
      <c r="D286" s="164"/>
      <c r="E286" s="164"/>
      <c r="F286" s="165"/>
      <c r="G286" s="165"/>
      <c r="H286" s="165"/>
      <c r="K286" s="4"/>
      <c r="L286" s="4"/>
    </row>
    <row r="287" spans="4:12" ht="12.75" x14ac:dyDescent="0.2">
      <c r="D287" s="164"/>
      <c r="E287" s="164"/>
      <c r="F287" s="165"/>
      <c r="G287" s="165"/>
      <c r="H287" s="165"/>
      <c r="K287" s="4"/>
      <c r="L287" s="4"/>
    </row>
    <row r="288" spans="4:12" ht="12.75" x14ac:dyDescent="0.2">
      <c r="D288" s="164"/>
      <c r="E288" s="164"/>
      <c r="F288" s="165"/>
      <c r="G288" s="165"/>
      <c r="H288" s="165"/>
      <c r="K288" s="4"/>
      <c r="L288" s="4"/>
    </row>
    <row r="289" spans="4:12" ht="12.75" x14ac:dyDescent="0.2">
      <c r="D289" s="164"/>
      <c r="E289" s="164"/>
      <c r="F289" s="165"/>
      <c r="G289" s="165"/>
      <c r="H289" s="165"/>
      <c r="K289" s="4"/>
      <c r="L289" s="4"/>
    </row>
    <row r="290" spans="4:12" ht="12.75" x14ac:dyDescent="0.2">
      <c r="D290" s="164"/>
      <c r="E290" s="164"/>
      <c r="F290" s="165"/>
      <c r="G290" s="165"/>
      <c r="H290" s="165"/>
      <c r="K290" s="4"/>
      <c r="L290" s="4"/>
    </row>
    <row r="291" spans="4:12" ht="12.75" x14ac:dyDescent="0.2">
      <c r="D291" s="164"/>
      <c r="E291" s="164"/>
      <c r="F291" s="165"/>
      <c r="G291" s="165"/>
      <c r="H291" s="165"/>
      <c r="K291" s="4"/>
      <c r="L291" s="4"/>
    </row>
    <row r="292" spans="4:12" ht="12.75" x14ac:dyDescent="0.2">
      <c r="D292" s="164"/>
      <c r="E292" s="164"/>
      <c r="F292" s="165"/>
      <c r="G292" s="165"/>
      <c r="H292" s="165"/>
      <c r="K292" s="4"/>
      <c r="L292" s="4"/>
    </row>
    <row r="293" spans="4:12" ht="12.75" x14ac:dyDescent="0.2">
      <c r="D293" s="164"/>
      <c r="E293" s="164"/>
      <c r="F293" s="165"/>
      <c r="G293" s="165"/>
      <c r="H293" s="165"/>
      <c r="K293" s="4"/>
      <c r="L293" s="4"/>
    </row>
    <row r="294" spans="4:12" ht="12.75" x14ac:dyDescent="0.2">
      <c r="D294" s="164"/>
      <c r="E294" s="164"/>
      <c r="F294" s="165"/>
      <c r="G294" s="165"/>
      <c r="H294" s="165"/>
      <c r="K294" s="4"/>
      <c r="L294" s="4"/>
    </row>
    <row r="295" spans="4:12" ht="12.75" x14ac:dyDescent="0.2">
      <c r="D295" s="164"/>
      <c r="E295" s="164"/>
      <c r="F295" s="165"/>
      <c r="G295" s="165"/>
      <c r="H295" s="165"/>
      <c r="K295" s="4"/>
      <c r="L295" s="4"/>
    </row>
    <row r="296" spans="4:12" ht="12.75" x14ac:dyDescent="0.2">
      <c r="D296" s="164"/>
      <c r="E296" s="164"/>
      <c r="F296" s="165"/>
      <c r="G296" s="165"/>
      <c r="H296" s="165"/>
      <c r="K296" s="4"/>
      <c r="L296" s="4"/>
    </row>
  </sheetData>
  <hyperlinks>
    <hyperlink ref="K3" r:id="rId1" xr:uid="{00000000-0004-0000-0400-000000000000}"/>
    <hyperlink ref="K17" r:id="rId2" xr:uid="{00000000-0004-0000-0400-000001000000}"/>
    <hyperlink ref="K21" r:id="rId3" xr:uid="{00000000-0004-0000-0400-000002000000}"/>
    <hyperlink ref="K24" r:id="rId4" xr:uid="{00000000-0004-0000-0400-000003000000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99"/>
  <sheetViews>
    <sheetView tabSelected="1" workbookViewId="0">
      <selection activeCell="E20" sqref="E20"/>
    </sheetView>
  </sheetViews>
  <sheetFormatPr baseColWidth="10" defaultColWidth="12.5703125" defaultRowHeight="15.75" customHeight="1" x14ac:dyDescent="0.2"/>
  <cols>
    <col min="1" max="1" width="4" customWidth="1"/>
    <col min="2" max="2" width="41.42578125" customWidth="1"/>
    <col min="9" max="9" width="24.5703125" customWidth="1"/>
  </cols>
  <sheetData>
    <row r="1" spans="1:9" ht="15.75" customHeight="1" x14ac:dyDescent="0.25">
      <c r="A1" s="166" t="s">
        <v>268</v>
      </c>
      <c r="B1" s="12"/>
      <c r="C1" s="12"/>
      <c r="D1" s="12"/>
      <c r="E1" s="12"/>
      <c r="F1" s="12"/>
      <c r="G1" s="12"/>
      <c r="H1" s="15"/>
      <c r="I1" s="3"/>
    </row>
    <row r="2" spans="1:9" ht="12.75" x14ac:dyDescent="0.2">
      <c r="A2" s="176"/>
      <c r="B2" s="177" t="s">
        <v>258</v>
      </c>
      <c r="C2" s="178" t="s">
        <v>259</v>
      </c>
      <c r="D2" s="178" t="s">
        <v>260</v>
      </c>
      <c r="E2" s="178" t="s">
        <v>261</v>
      </c>
      <c r="F2" s="179" t="s">
        <v>257</v>
      </c>
      <c r="G2" s="180">
        <f>SUM(E3:E299)</f>
        <v>222.46</v>
      </c>
      <c r="H2" s="181" t="s">
        <v>15</v>
      </c>
      <c r="I2" s="3"/>
    </row>
    <row r="3" spans="1:9" ht="12.75" x14ac:dyDescent="0.2">
      <c r="A3" s="275">
        <v>1</v>
      </c>
      <c r="B3" s="276" t="s">
        <v>358</v>
      </c>
      <c r="C3" s="188">
        <v>1</v>
      </c>
      <c r="D3" s="189"/>
      <c r="E3" s="189">
        <f t="shared" ref="E3:E10" si="0">C3*D3</f>
        <v>0</v>
      </c>
      <c r="F3" s="190"/>
      <c r="G3" s="190"/>
      <c r="H3" s="282" t="s">
        <v>360</v>
      </c>
      <c r="I3" s="4"/>
    </row>
    <row r="4" spans="1:9" ht="12.75" x14ac:dyDescent="0.2">
      <c r="A4" s="277">
        <v>2</v>
      </c>
      <c r="B4" s="278" t="s">
        <v>357</v>
      </c>
      <c r="C4" s="182">
        <v>1</v>
      </c>
      <c r="D4" s="183">
        <v>72.36</v>
      </c>
      <c r="E4" s="183">
        <f t="shared" si="0"/>
        <v>72.36</v>
      </c>
      <c r="F4" s="184"/>
      <c r="G4" s="184"/>
      <c r="H4" s="281" t="s">
        <v>359</v>
      </c>
      <c r="I4" s="4"/>
    </row>
    <row r="5" spans="1:9" ht="12.75" x14ac:dyDescent="0.2">
      <c r="A5" s="279">
        <v>3</v>
      </c>
      <c r="B5" s="191" t="s">
        <v>159</v>
      </c>
      <c r="C5" s="182">
        <v>1</v>
      </c>
      <c r="D5" s="183">
        <v>33.880000000000003</v>
      </c>
      <c r="E5" s="183">
        <f t="shared" si="0"/>
        <v>33.880000000000003</v>
      </c>
      <c r="H5" s="280" t="s">
        <v>158</v>
      </c>
      <c r="I5" s="4"/>
    </row>
    <row r="6" spans="1:9" ht="12.75" x14ac:dyDescent="0.2">
      <c r="A6" s="277">
        <v>4</v>
      </c>
      <c r="B6" s="191" t="s">
        <v>160</v>
      </c>
      <c r="C6" s="182">
        <v>298</v>
      </c>
      <c r="D6" s="183">
        <v>0.39</v>
      </c>
      <c r="E6" s="183">
        <f t="shared" si="0"/>
        <v>116.22</v>
      </c>
      <c r="F6" s="184"/>
      <c r="G6" s="184"/>
      <c r="H6" s="186" t="s">
        <v>161</v>
      </c>
      <c r="I6" s="4"/>
    </row>
    <row r="7" spans="1:9" ht="12.75" x14ac:dyDescent="0.2">
      <c r="A7" s="277">
        <v>5</v>
      </c>
      <c r="B7" s="191"/>
      <c r="C7" s="182"/>
      <c r="D7" s="183">
        <v>0</v>
      </c>
      <c r="E7" s="183">
        <f t="shared" si="0"/>
        <v>0</v>
      </c>
      <c r="F7" s="184"/>
      <c r="G7" s="184"/>
      <c r="H7" s="186"/>
      <c r="I7" s="4"/>
    </row>
    <row r="8" spans="1:9" ht="12.75" x14ac:dyDescent="0.2">
      <c r="A8" s="277">
        <v>6</v>
      </c>
      <c r="B8" s="191"/>
      <c r="C8" s="182"/>
      <c r="D8" s="183">
        <v>0</v>
      </c>
      <c r="E8" s="183">
        <f t="shared" si="0"/>
        <v>0</v>
      </c>
      <c r="F8" s="184"/>
      <c r="G8" s="184"/>
      <c r="H8" s="186"/>
      <c r="I8" s="4"/>
    </row>
    <row r="9" spans="1:9" ht="12.75" x14ac:dyDescent="0.2">
      <c r="A9" s="185"/>
      <c r="B9" s="192"/>
      <c r="C9" s="182"/>
      <c r="D9" s="189">
        <v>0</v>
      </c>
      <c r="E9" s="183">
        <f t="shared" si="0"/>
        <v>0</v>
      </c>
      <c r="F9" s="184"/>
      <c r="G9" s="184"/>
      <c r="H9" s="187"/>
      <c r="I9" s="4"/>
    </row>
    <row r="10" spans="1:9" ht="12.75" x14ac:dyDescent="0.2">
      <c r="A10" s="171"/>
      <c r="B10" s="193"/>
      <c r="C10" s="173"/>
      <c r="D10" s="174">
        <v>0</v>
      </c>
      <c r="E10" s="174">
        <f t="shared" si="0"/>
        <v>0</v>
      </c>
      <c r="F10" s="172"/>
      <c r="G10" s="172"/>
      <c r="H10" s="175"/>
      <c r="I10" s="4"/>
    </row>
    <row r="11" spans="1:9" ht="12.75" x14ac:dyDescent="0.2">
      <c r="C11" s="164"/>
      <c r="D11" s="165"/>
      <c r="E11" s="165"/>
      <c r="H11" s="4"/>
      <c r="I11" s="4"/>
    </row>
    <row r="12" spans="1:9" ht="12.75" x14ac:dyDescent="0.2">
      <c r="C12" s="164"/>
      <c r="D12" s="165"/>
      <c r="E12" s="165"/>
      <c r="H12" s="4"/>
      <c r="I12" s="4"/>
    </row>
    <row r="13" spans="1:9" ht="12.75" x14ac:dyDescent="0.2">
      <c r="C13" s="164"/>
      <c r="D13" s="165"/>
      <c r="E13" s="165"/>
      <c r="H13" s="4"/>
      <c r="I13" s="4"/>
    </row>
    <row r="14" spans="1:9" ht="12.75" x14ac:dyDescent="0.2">
      <c r="C14" s="164"/>
      <c r="D14" s="165"/>
      <c r="E14" s="165"/>
      <c r="H14" s="4"/>
      <c r="I14" s="4"/>
    </row>
    <row r="15" spans="1:9" ht="12.75" x14ac:dyDescent="0.2">
      <c r="C15" s="164"/>
      <c r="D15" s="165"/>
      <c r="E15" s="165"/>
      <c r="H15" s="4"/>
      <c r="I15" s="4"/>
    </row>
    <row r="16" spans="1:9" ht="12.75" x14ac:dyDescent="0.2">
      <c r="C16" s="164"/>
      <c r="D16" s="165"/>
      <c r="E16" s="165"/>
      <c r="H16" s="4"/>
      <c r="I16" s="4"/>
    </row>
    <row r="17" spans="3:9" ht="12.75" x14ac:dyDescent="0.2">
      <c r="C17" s="164"/>
      <c r="D17" s="165"/>
      <c r="E17" s="165"/>
      <c r="H17" s="4"/>
      <c r="I17" s="4"/>
    </row>
    <row r="18" spans="3:9" ht="12.75" x14ac:dyDescent="0.2">
      <c r="C18" s="164"/>
      <c r="D18" s="165"/>
      <c r="E18" s="165"/>
      <c r="H18" s="4"/>
      <c r="I18" s="4"/>
    </row>
    <row r="19" spans="3:9" ht="12.75" x14ac:dyDescent="0.2">
      <c r="C19" s="164"/>
      <c r="D19" s="165"/>
      <c r="E19" s="165"/>
      <c r="H19" s="4"/>
      <c r="I19" s="4"/>
    </row>
    <row r="20" spans="3:9" ht="12.75" x14ac:dyDescent="0.2">
      <c r="C20" s="164"/>
      <c r="D20" s="165"/>
      <c r="E20" s="165"/>
      <c r="H20" s="4"/>
      <c r="I20" s="4"/>
    </row>
    <row r="21" spans="3:9" ht="12.75" x14ac:dyDescent="0.2">
      <c r="C21" s="164"/>
      <c r="D21" s="165"/>
      <c r="E21" s="165"/>
      <c r="H21" s="4"/>
      <c r="I21" s="4"/>
    </row>
    <row r="22" spans="3:9" ht="12.75" x14ac:dyDescent="0.2">
      <c r="C22" s="164"/>
      <c r="D22" s="165"/>
      <c r="E22" s="165"/>
      <c r="H22" s="4"/>
      <c r="I22" s="4"/>
    </row>
    <row r="23" spans="3:9" ht="12.75" x14ac:dyDescent="0.2">
      <c r="C23" s="164"/>
      <c r="D23" s="165"/>
      <c r="E23" s="165"/>
      <c r="H23" s="4"/>
      <c r="I23" s="4"/>
    </row>
    <row r="24" spans="3:9" ht="12.75" x14ac:dyDescent="0.2">
      <c r="C24" s="164"/>
      <c r="D24" s="165"/>
      <c r="E24" s="165"/>
      <c r="H24" s="4"/>
      <c r="I24" s="4"/>
    </row>
    <row r="25" spans="3:9" ht="12.75" x14ac:dyDescent="0.2">
      <c r="C25" s="164"/>
      <c r="D25" s="165"/>
      <c r="E25" s="165"/>
      <c r="H25" s="4"/>
      <c r="I25" s="4"/>
    </row>
    <row r="26" spans="3:9" ht="12.75" x14ac:dyDescent="0.2">
      <c r="C26" s="164"/>
      <c r="D26" s="165"/>
      <c r="E26" s="165"/>
      <c r="H26" s="4"/>
      <c r="I26" s="4"/>
    </row>
    <row r="27" spans="3:9" ht="12.75" x14ac:dyDescent="0.2">
      <c r="C27" s="164"/>
      <c r="D27" s="165"/>
      <c r="E27" s="165"/>
      <c r="H27" s="4"/>
      <c r="I27" s="4"/>
    </row>
    <row r="28" spans="3:9" ht="12.75" x14ac:dyDescent="0.2">
      <c r="C28" s="164"/>
      <c r="D28" s="165"/>
      <c r="E28" s="165"/>
      <c r="H28" s="4"/>
      <c r="I28" s="4"/>
    </row>
    <row r="29" spans="3:9" ht="12.75" x14ac:dyDescent="0.2">
      <c r="C29" s="164"/>
      <c r="D29" s="165"/>
      <c r="E29" s="165"/>
      <c r="H29" s="4"/>
      <c r="I29" s="4"/>
    </row>
    <row r="30" spans="3:9" ht="12.75" x14ac:dyDescent="0.2">
      <c r="C30" s="164"/>
      <c r="D30" s="165"/>
      <c r="E30" s="165"/>
      <c r="H30" s="4"/>
      <c r="I30" s="4"/>
    </row>
    <row r="31" spans="3:9" ht="12.75" x14ac:dyDescent="0.2">
      <c r="C31" s="164"/>
      <c r="D31" s="165"/>
      <c r="E31" s="165"/>
      <c r="H31" s="4"/>
      <c r="I31" s="4"/>
    </row>
    <row r="32" spans="3:9" ht="12.75" x14ac:dyDescent="0.2">
      <c r="C32" s="164"/>
      <c r="D32" s="165"/>
      <c r="E32" s="165"/>
      <c r="H32" s="4"/>
      <c r="I32" s="4"/>
    </row>
    <row r="33" spans="3:9" ht="12.75" x14ac:dyDescent="0.2">
      <c r="C33" s="164"/>
      <c r="D33" s="165"/>
      <c r="E33" s="165"/>
      <c r="H33" s="4"/>
      <c r="I33" s="4"/>
    </row>
    <row r="34" spans="3:9" ht="12.75" x14ac:dyDescent="0.2">
      <c r="C34" s="164"/>
      <c r="D34" s="165"/>
      <c r="E34" s="165"/>
      <c r="H34" s="4"/>
      <c r="I34" s="4"/>
    </row>
    <row r="35" spans="3:9" ht="12.75" x14ac:dyDescent="0.2">
      <c r="C35" s="164"/>
      <c r="D35" s="165"/>
      <c r="E35" s="165"/>
      <c r="H35" s="4"/>
      <c r="I35" s="4"/>
    </row>
    <row r="36" spans="3:9" ht="12.75" x14ac:dyDescent="0.2">
      <c r="C36" s="164"/>
      <c r="D36" s="165"/>
      <c r="E36" s="165"/>
      <c r="H36" s="4"/>
      <c r="I36" s="4"/>
    </row>
    <row r="37" spans="3:9" ht="12.75" x14ac:dyDescent="0.2">
      <c r="C37" s="164"/>
      <c r="D37" s="165"/>
      <c r="E37" s="165"/>
      <c r="H37" s="4"/>
      <c r="I37" s="4"/>
    </row>
    <row r="38" spans="3:9" ht="12.75" x14ac:dyDescent="0.2">
      <c r="C38" s="164"/>
      <c r="D38" s="165"/>
      <c r="E38" s="165"/>
      <c r="H38" s="4"/>
      <c r="I38" s="4"/>
    </row>
    <row r="39" spans="3:9" ht="12.75" x14ac:dyDescent="0.2">
      <c r="C39" s="164"/>
      <c r="D39" s="165"/>
      <c r="E39" s="165"/>
      <c r="H39" s="4"/>
      <c r="I39" s="4"/>
    </row>
    <row r="40" spans="3:9" ht="12.75" x14ac:dyDescent="0.2">
      <c r="C40" s="164"/>
      <c r="D40" s="165"/>
      <c r="E40" s="165"/>
      <c r="H40" s="4"/>
      <c r="I40" s="4"/>
    </row>
    <row r="41" spans="3:9" ht="12.75" x14ac:dyDescent="0.2">
      <c r="C41" s="164"/>
      <c r="D41" s="165"/>
      <c r="E41" s="165"/>
      <c r="H41" s="4"/>
      <c r="I41" s="4"/>
    </row>
    <row r="42" spans="3:9" ht="12.75" x14ac:dyDescent="0.2">
      <c r="C42" s="164"/>
      <c r="D42" s="165"/>
      <c r="E42" s="165"/>
      <c r="H42" s="4"/>
      <c r="I42" s="4"/>
    </row>
    <row r="43" spans="3:9" ht="12.75" x14ac:dyDescent="0.2">
      <c r="C43" s="164"/>
      <c r="D43" s="165"/>
      <c r="E43" s="165"/>
      <c r="H43" s="4"/>
      <c r="I43" s="4"/>
    </row>
    <row r="44" spans="3:9" ht="12.75" x14ac:dyDescent="0.2">
      <c r="C44" s="164"/>
      <c r="D44" s="165"/>
      <c r="E44" s="165"/>
      <c r="H44" s="4"/>
      <c r="I44" s="4"/>
    </row>
    <row r="45" spans="3:9" ht="12.75" x14ac:dyDescent="0.2">
      <c r="C45" s="164"/>
      <c r="D45" s="165"/>
      <c r="E45" s="165"/>
      <c r="H45" s="4"/>
      <c r="I45" s="4"/>
    </row>
    <row r="46" spans="3:9" ht="12.75" x14ac:dyDescent="0.2">
      <c r="C46" s="164"/>
      <c r="D46" s="165"/>
      <c r="E46" s="165"/>
      <c r="H46" s="4"/>
      <c r="I46" s="4"/>
    </row>
    <row r="47" spans="3:9" ht="12.75" x14ac:dyDescent="0.2">
      <c r="C47" s="164"/>
      <c r="D47" s="165"/>
      <c r="E47" s="165"/>
      <c r="H47" s="4"/>
      <c r="I47" s="4"/>
    </row>
    <row r="48" spans="3:9" ht="12.75" x14ac:dyDescent="0.2">
      <c r="C48" s="164"/>
      <c r="D48" s="165"/>
      <c r="E48" s="165"/>
      <c r="H48" s="4"/>
      <c r="I48" s="4"/>
    </row>
    <row r="49" spans="3:9" ht="12.75" x14ac:dyDescent="0.2">
      <c r="C49" s="164"/>
      <c r="D49" s="165"/>
      <c r="E49" s="165"/>
      <c r="H49" s="4"/>
      <c r="I49" s="4"/>
    </row>
    <row r="50" spans="3:9" ht="12.75" x14ac:dyDescent="0.2">
      <c r="C50" s="164"/>
      <c r="D50" s="165"/>
      <c r="E50" s="165"/>
      <c r="H50" s="4"/>
      <c r="I50" s="4"/>
    </row>
    <row r="51" spans="3:9" ht="12.75" x14ac:dyDescent="0.2">
      <c r="C51" s="164"/>
      <c r="D51" s="165"/>
      <c r="E51" s="165"/>
      <c r="H51" s="4"/>
      <c r="I51" s="4"/>
    </row>
    <row r="52" spans="3:9" ht="12.75" x14ac:dyDescent="0.2">
      <c r="C52" s="164"/>
      <c r="D52" s="165"/>
      <c r="E52" s="165"/>
      <c r="H52" s="4"/>
      <c r="I52" s="4"/>
    </row>
    <row r="53" spans="3:9" ht="12.75" x14ac:dyDescent="0.2">
      <c r="C53" s="164"/>
      <c r="D53" s="165"/>
      <c r="E53" s="165"/>
      <c r="H53" s="4"/>
      <c r="I53" s="4"/>
    </row>
    <row r="54" spans="3:9" ht="12.75" x14ac:dyDescent="0.2">
      <c r="C54" s="164"/>
      <c r="D54" s="165"/>
      <c r="E54" s="165"/>
      <c r="H54" s="4"/>
      <c r="I54" s="4"/>
    </row>
    <row r="55" spans="3:9" ht="12.75" x14ac:dyDescent="0.2">
      <c r="C55" s="164"/>
      <c r="D55" s="165"/>
      <c r="E55" s="165"/>
      <c r="H55" s="4"/>
      <c r="I55" s="4"/>
    </row>
    <row r="56" spans="3:9" ht="12.75" x14ac:dyDescent="0.2">
      <c r="C56" s="164"/>
      <c r="D56" s="165"/>
      <c r="E56" s="165"/>
      <c r="H56" s="4"/>
      <c r="I56" s="4"/>
    </row>
    <row r="57" spans="3:9" ht="12.75" x14ac:dyDescent="0.2">
      <c r="C57" s="164"/>
      <c r="D57" s="165"/>
      <c r="E57" s="165"/>
      <c r="H57" s="4"/>
      <c r="I57" s="4"/>
    </row>
    <row r="58" spans="3:9" ht="12.75" x14ac:dyDescent="0.2">
      <c r="C58" s="164"/>
      <c r="D58" s="165"/>
      <c r="E58" s="165"/>
      <c r="H58" s="4"/>
      <c r="I58" s="4"/>
    </row>
    <row r="59" spans="3:9" ht="12.75" x14ac:dyDescent="0.2">
      <c r="C59" s="164"/>
      <c r="D59" s="165"/>
      <c r="E59" s="165"/>
      <c r="H59" s="4"/>
      <c r="I59" s="4"/>
    </row>
    <row r="60" spans="3:9" ht="12.75" x14ac:dyDescent="0.2">
      <c r="C60" s="164"/>
      <c r="D60" s="165"/>
      <c r="E60" s="165"/>
      <c r="H60" s="4"/>
      <c r="I60" s="4"/>
    </row>
    <row r="61" spans="3:9" ht="12.75" x14ac:dyDescent="0.2">
      <c r="C61" s="164"/>
      <c r="D61" s="165"/>
      <c r="E61" s="165"/>
      <c r="H61" s="4"/>
      <c r="I61" s="4"/>
    </row>
    <row r="62" spans="3:9" ht="12.75" x14ac:dyDescent="0.2">
      <c r="C62" s="164"/>
      <c r="D62" s="165"/>
      <c r="E62" s="165"/>
      <c r="H62" s="4"/>
      <c r="I62" s="4"/>
    </row>
    <row r="63" spans="3:9" ht="12.75" x14ac:dyDescent="0.2">
      <c r="C63" s="164"/>
      <c r="D63" s="165"/>
      <c r="E63" s="165"/>
      <c r="H63" s="4"/>
      <c r="I63" s="4"/>
    </row>
    <row r="64" spans="3:9" ht="12.75" x14ac:dyDescent="0.2">
      <c r="C64" s="164"/>
      <c r="D64" s="165"/>
      <c r="E64" s="165"/>
      <c r="H64" s="4"/>
      <c r="I64" s="4"/>
    </row>
    <row r="65" spans="3:9" ht="12.75" x14ac:dyDescent="0.2">
      <c r="C65" s="164"/>
      <c r="D65" s="165"/>
      <c r="E65" s="165"/>
      <c r="H65" s="4"/>
      <c r="I65" s="4"/>
    </row>
    <row r="66" spans="3:9" ht="12.75" x14ac:dyDescent="0.2">
      <c r="C66" s="164"/>
      <c r="D66" s="165"/>
      <c r="E66" s="165"/>
      <c r="H66" s="4"/>
      <c r="I66" s="4"/>
    </row>
    <row r="67" spans="3:9" ht="12.75" x14ac:dyDescent="0.2">
      <c r="C67" s="164"/>
      <c r="D67" s="165"/>
      <c r="E67" s="165"/>
      <c r="H67" s="4"/>
      <c r="I67" s="4"/>
    </row>
    <row r="68" spans="3:9" ht="12.75" x14ac:dyDescent="0.2">
      <c r="C68" s="164"/>
      <c r="D68" s="165"/>
      <c r="E68" s="165"/>
      <c r="H68" s="4"/>
      <c r="I68" s="4"/>
    </row>
    <row r="69" spans="3:9" ht="12.75" x14ac:dyDescent="0.2">
      <c r="C69" s="164"/>
      <c r="D69" s="165"/>
      <c r="E69" s="165"/>
      <c r="H69" s="4"/>
      <c r="I69" s="4"/>
    </row>
    <row r="70" spans="3:9" ht="12.75" x14ac:dyDescent="0.2">
      <c r="C70" s="164"/>
      <c r="D70" s="165"/>
      <c r="E70" s="165"/>
      <c r="H70" s="4"/>
      <c r="I70" s="4"/>
    </row>
    <row r="71" spans="3:9" ht="12.75" x14ac:dyDescent="0.2">
      <c r="C71" s="164"/>
      <c r="D71" s="165"/>
      <c r="E71" s="165"/>
      <c r="H71" s="4"/>
      <c r="I71" s="4"/>
    </row>
    <row r="72" spans="3:9" ht="12.75" x14ac:dyDescent="0.2">
      <c r="C72" s="164"/>
      <c r="D72" s="165"/>
      <c r="E72" s="165"/>
      <c r="H72" s="4"/>
      <c r="I72" s="4"/>
    </row>
    <row r="73" spans="3:9" ht="12.75" x14ac:dyDescent="0.2">
      <c r="C73" s="164"/>
      <c r="D73" s="165"/>
      <c r="E73" s="165"/>
      <c r="H73" s="4"/>
      <c r="I73" s="4"/>
    </row>
    <row r="74" spans="3:9" ht="12.75" x14ac:dyDescent="0.2">
      <c r="C74" s="164"/>
      <c r="D74" s="165"/>
      <c r="E74" s="165"/>
      <c r="H74" s="4"/>
      <c r="I74" s="4"/>
    </row>
    <row r="75" spans="3:9" ht="12.75" x14ac:dyDescent="0.2">
      <c r="C75" s="164"/>
      <c r="D75" s="165"/>
      <c r="E75" s="165"/>
      <c r="H75" s="4"/>
      <c r="I75" s="4"/>
    </row>
    <row r="76" spans="3:9" ht="12.75" x14ac:dyDescent="0.2">
      <c r="C76" s="164"/>
      <c r="D76" s="165"/>
      <c r="E76" s="165"/>
      <c r="H76" s="4"/>
      <c r="I76" s="4"/>
    </row>
    <row r="77" spans="3:9" ht="12.75" x14ac:dyDescent="0.2">
      <c r="C77" s="164"/>
      <c r="D77" s="165"/>
      <c r="E77" s="165"/>
      <c r="H77" s="4"/>
      <c r="I77" s="4"/>
    </row>
    <row r="78" spans="3:9" ht="12.75" x14ac:dyDescent="0.2">
      <c r="C78" s="164"/>
      <c r="D78" s="165"/>
      <c r="E78" s="165"/>
      <c r="H78" s="4"/>
      <c r="I78" s="4"/>
    </row>
    <row r="79" spans="3:9" ht="12.75" x14ac:dyDescent="0.2">
      <c r="C79" s="164"/>
      <c r="D79" s="165"/>
      <c r="E79" s="165"/>
      <c r="H79" s="4"/>
      <c r="I79" s="4"/>
    </row>
    <row r="80" spans="3:9" ht="12.75" x14ac:dyDescent="0.2">
      <c r="C80" s="164"/>
      <c r="D80" s="165"/>
      <c r="E80" s="165"/>
      <c r="H80" s="4"/>
      <c r="I80" s="4"/>
    </row>
    <row r="81" spans="3:9" ht="12.75" x14ac:dyDescent="0.2">
      <c r="C81" s="164"/>
      <c r="D81" s="165"/>
      <c r="E81" s="165"/>
      <c r="H81" s="4"/>
      <c r="I81" s="4"/>
    </row>
    <row r="82" spans="3:9" ht="12.75" x14ac:dyDescent="0.2">
      <c r="C82" s="164"/>
      <c r="D82" s="165"/>
      <c r="E82" s="165"/>
      <c r="H82" s="4"/>
      <c r="I82" s="4"/>
    </row>
    <row r="83" spans="3:9" ht="12.75" x14ac:dyDescent="0.2">
      <c r="C83" s="164"/>
      <c r="D83" s="165"/>
      <c r="E83" s="165"/>
      <c r="H83" s="4"/>
      <c r="I83" s="4"/>
    </row>
    <row r="84" spans="3:9" ht="12.75" x14ac:dyDescent="0.2">
      <c r="C84" s="164"/>
      <c r="D84" s="165"/>
      <c r="E84" s="165"/>
      <c r="H84" s="4"/>
      <c r="I84" s="4"/>
    </row>
    <row r="85" spans="3:9" ht="12.75" x14ac:dyDescent="0.2">
      <c r="C85" s="164"/>
      <c r="D85" s="165"/>
      <c r="E85" s="165"/>
      <c r="H85" s="4"/>
      <c r="I85" s="4"/>
    </row>
    <row r="86" spans="3:9" ht="12.75" x14ac:dyDescent="0.2">
      <c r="C86" s="164"/>
      <c r="D86" s="165"/>
      <c r="E86" s="165"/>
      <c r="H86" s="4"/>
      <c r="I86" s="4"/>
    </row>
    <row r="87" spans="3:9" ht="12.75" x14ac:dyDescent="0.2">
      <c r="C87" s="164"/>
      <c r="D87" s="165"/>
      <c r="E87" s="165"/>
      <c r="H87" s="4"/>
      <c r="I87" s="4"/>
    </row>
    <row r="88" spans="3:9" ht="12.75" x14ac:dyDescent="0.2">
      <c r="C88" s="164"/>
      <c r="D88" s="165"/>
      <c r="E88" s="165"/>
      <c r="H88" s="4"/>
      <c r="I88" s="4"/>
    </row>
    <row r="89" spans="3:9" ht="12.75" x14ac:dyDescent="0.2">
      <c r="C89" s="164"/>
      <c r="D89" s="165"/>
      <c r="E89" s="165"/>
      <c r="H89" s="4"/>
      <c r="I89" s="4"/>
    </row>
    <row r="90" spans="3:9" ht="12.75" x14ac:dyDescent="0.2">
      <c r="C90" s="164"/>
      <c r="D90" s="165"/>
      <c r="E90" s="165"/>
      <c r="H90" s="4"/>
      <c r="I90" s="4"/>
    </row>
    <row r="91" spans="3:9" ht="12.75" x14ac:dyDescent="0.2">
      <c r="C91" s="164"/>
      <c r="D91" s="165"/>
      <c r="E91" s="165"/>
      <c r="H91" s="4"/>
      <c r="I91" s="4"/>
    </row>
    <row r="92" spans="3:9" ht="12.75" x14ac:dyDescent="0.2">
      <c r="C92" s="164"/>
      <c r="D92" s="165"/>
      <c r="E92" s="165"/>
      <c r="H92" s="4"/>
      <c r="I92" s="4"/>
    </row>
    <row r="93" spans="3:9" ht="12.75" x14ac:dyDescent="0.2">
      <c r="C93" s="164"/>
      <c r="D93" s="165"/>
      <c r="E93" s="165"/>
      <c r="H93" s="4"/>
      <c r="I93" s="4"/>
    </row>
    <row r="94" spans="3:9" ht="12.75" x14ac:dyDescent="0.2">
      <c r="C94" s="164"/>
      <c r="D94" s="165"/>
      <c r="E94" s="165"/>
      <c r="H94" s="4"/>
      <c r="I94" s="4"/>
    </row>
    <row r="95" spans="3:9" ht="12.75" x14ac:dyDescent="0.2">
      <c r="C95" s="164"/>
      <c r="D95" s="165"/>
      <c r="E95" s="165"/>
      <c r="H95" s="4"/>
      <c r="I95" s="4"/>
    </row>
    <row r="96" spans="3:9" ht="12.75" x14ac:dyDescent="0.2">
      <c r="C96" s="164"/>
      <c r="D96" s="165"/>
      <c r="E96" s="165"/>
      <c r="H96" s="4"/>
      <c r="I96" s="4"/>
    </row>
    <row r="97" spans="3:9" ht="12.75" x14ac:dyDescent="0.2">
      <c r="C97" s="164"/>
      <c r="D97" s="165"/>
      <c r="E97" s="165"/>
      <c r="H97" s="4"/>
      <c r="I97" s="4"/>
    </row>
    <row r="98" spans="3:9" ht="12.75" x14ac:dyDescent="0.2">
      <c r="C98" s="164"/>
      <c r="D98" s="165"/>
      <c r="E98" s="165"/>
      <c r="H98" s="4"/>
      <c r="I98" s="4"/>
    </row>
    <row r="99" spans="3:9" ht="12.75" x14ac:dyDescent="0.2">
      <c r="C99" s="164"/>
      <c r="D99" s="165"/>
      <c r="E99" s="165"/>
      <c r="H99" s="4"/>
      <c r="I99" s="4"/>
    </row>
    <row r="100" spans="3:9" ht="12.75" x14ac:dyDescent="0.2">
      <c r="C100" s="164"/>
      <c r="D100" s="165"/>
      <c r="E100" s="165"/>
      <c r="H100" s="4"/>
      <c r="I100" s="4"/>
    </row>
    <row r="101" spans="3:9" ht="12.75" x14ac:dyDescent="0.2">
      <c r="C101" s="164"/>
      <c r="D101" s="165"/>
      <c r="E101" s="165"/>
      <c r="H101" s="4"/>
      <c r="I101" s="4"/>
    </row>
    <row r="102" spans="3:9" ht="12.75" x14ac:dyDescent="0.2">
      <c r="C102" s="164"/>
      <c r="D102" s="165"/>
      <c r="E102" s="165"/>
      <c r="H102" s="4"/>
      <c r="I102" s="4"/>
    </row>
    <row r="103" spans="3:9" ht="12.75" x14ac:dyDescent="0.2">
      <c r="C103" s="164"/>
      <c r="D103" s="165"/>
      <c r="E103" s="165"/>
      <c r="H103" s="4"/>
      <c r="I103" s="4"/>
    </row>
    <row r="104" spans="3:9" ht="12.75" x14ac:dyDescent="0.2">
      <c r="C104" s="164"/>
      <c r="D104" s="165"/>
      <c r="E104" s="165"/>
      <c r="H104" s="4"/>
      <c r="I104" s="4"/>
    </row>
    <row r="105" spans="3:9" ht="12.75" x14ac:dyDescent="0.2">
      <c r="C105" s="164"/>
      <c r="D105" s="165"/>
      <c r="E105" s="165"/>
      <c r="H105" s="4"/>
      <c r="I105" s="4"/>
    </row>
    <row r="106" spans="3:9" ht="12.75" x14ac:dyDescent="0.2">
      <c r="C106" s="164"/>
      <c r="D106" s="165"/>
      <c r="E106" s="165"/>
      <c r="H106" s="4"/>
      <c r="I106" s="4"/>
    </row>
    <row r="107" spans="3:9" ht="12.75" x14ac:dyDescent="0.2">
      <c r="C107" s="164"/>
      <c r="D107" s="165"/>
      <c r="E107" s="165"/>
      <c r="H107" s="4"/>
      <c r="I107" s="4"/>
    </row>
    <row r="108" spans="3:9" ht="12.75" x14ac:dyDescent="0.2">
      <c r="C108" s="164"/>
      <c r="D108" s="165"/>
      <c r="E108" s="165"/>
      <c r="H108" s="4"/>
      <c r="I108" s="4"/>
    </row>
    <row r="109" spans="3:9" ht="12.75" x14ac:dyDescent="0.2">
      <c r="C109" s="164"/>
      <c r="D109" s="165"/>
      <c r="E109" s="165"/>
      <c r="H109" s="4"/>
      <c r="I109" s="4"/>
    </row>
    <row r="110" spans="3:9" ht="12.75" x14ac:dyDescent="0.2">
      <c r="C110" s="164"/>
      <c r="D110" s="165"/>
      <c r="E110" s="165"/>
      <c r="H110" s="4"/>
      <c r="I110" s="4"/>
    </row>
    <row r="111" spans="3:9" ht="12.75" x14ac:dyDescent="0.2">
      <c r="C111" s="164"/>
      <c r="D111" s="165"/>
      <c r="E111" s="165"/>
      <c r="H111" s="4"/>
      <c r="I111" s="4"/>
    </row>
    <row r="112" spans="3:9" ht="12.75" x14ac:dyDescent="0.2">
      <c r="C112" s="164"/>
      <c r="D112" s="165"/>
      <c r="E112" s="165"/>
      <c r="H112" s="4"/>
      <c r="I112" s="4"/>
    </row>
    <row r="113" spans="3:9" ht="12.75" x14ac:dyDescent="0.2">
      <c r="C113" s="164"/>
      <c r="D113" s="165"/>
      <c r="E113" s="165"/>
      <c r="H113" s="4"/>
      <c r="I113" s="4"/>
    </row>
    <row r="114" spans="3:9" ht="12.75" x14ac:dyDescent="0.2">
      <c r="C114" s="164"/>
      <c r="D114" s="165"/>
      <c r="E114" s="165"/>
      <c r="H114" s="4"/>
      <c r="I114" s="4"/>
    </row>
    <row r="115" spans="3:9" ht="12.75" x14ac:dyDescent="0.2">
      <c r="C115" s="164"/>
      <c r="D115" s="165"/>
      <c r="E115" s="165"/>
      <c r="H115" s="4"/>
      <c r="I115" s="4"/>
    </row>
    <row r="116" spans="3:9" ht="12.75" x14ac:dyDescent="0.2">
      <c r="C116" s="164"/>
      <c r="D116" s="165"/>
      <c r="E116" s="165"/>
      <c r="H116" s="4"/>
      <c r="I116" s="4"/>
    </row>
    <row r="117" spans="3:9" ht="12.75" x14ac:dyDescent="0.2">
      <c r="C117" s="164"/>
      <c r="D117" s="165"/>
      <c r="E117" s="165"/>
      <c r="H117" s="4"/>
      <c r="I117" s="4"/>
    </row>
    <row r="118" spans="3:9" ht="12.75" x14ac:dyDescent="0.2">
      <c r="C118" s="164"/>
      <c r="D118" s="165"/>
      <c r="E118" s="165"/>
      <c r="H118" s="4"/>
      <c r="I118" s="4"/>
    </row>
    <row r="119" spans="3:9" ht="12.75" x14ac:dyDescent="0.2">
      <c r="C119" s="164"/>
      <c r="D119" s="165"/>
      <c r="E119" s="165"/>
      <c r="H119" s="4"/>
      <c r="I119" s="4"/>
    </row>
    <row r="120" spans="3:9" ht="12.75" x14ac:dyDescent="0.2">
      <c r="C120" s="164"/>
      <c r="D120" s="165"/>
      <c r="E120" s="165"/>
      <c r="H120" s="4"/>
      <c r="I120" s="4"/>
    </row>
    <row r="121" spans="3:9" ht="12.75" x14ac:dyDescent="0.2">
      <c r="C121" s="164"/>
      <c r="D121" s="165"/>
      <c r="E121" s="165"/>
      <c r="H121" s="4"/>
      <c r="I121" s="4"/>
    </row>
    <row r="122" spans="3:9" ht="12.75" x14ac:dyDescent="0.2">
      <c r="C122" s="164"/>
      <c r="D122" s="165"/>
      <c r="E122" s="165"/>
      <c r="H122" s="4"/>
      <c r="I122" s="4"/>
    </row>
    <row r="123" spans="3:9" ht="12.75" x14ac:dyDescent="0.2">
      <c r="C123" s="164"/>
      <c r="D123" s="165"/>
      <c r="E123" s="165"/>
      <c r="H123" s="4"/>
      <c r="I123" s="4"/>
    </row>
    <row r="124" spans="3:9" ht="12.75" x14ac:dyDescent="0.2">
      <c r="C124" s="164"/>
      <c r="D124" s="165"/>
      <c r="E124" s="165"/>
      <c r="H124" s="4"/>
      <c r="I124" s="4"/>
    </row>
    <row r="125" spans="3:9" ht="12.75" x14ac:dyDescent="0.2">
      <c r="C125" s="164"/>
      <c r="D125" s="165"/>
      <c r="E125" s="165"/>
      <c r="H125" s="4"/>
      <c r="I125" s="4"/>
    </row>
    <row r="126" spans="3:9" ht="12.75" x14ac:dyDescent="0.2">
      <c r="C126" s="164"/>
      <c r="D126" s="165"/>
      <c r="E126" s="165"/>
      <c r="H126" s="4"/>
      <c r="I126" s="4"/>
    </row>
    <row r="127" spans="3:9" ht="12.75" x14ac:dyDescent="0.2">
      <c r="C127" s="164"/>
      <c r="D127" s="165"/>
      <c r="E127" s="165"/>
      <c r="H127" s="4"/>
      <c r="I127" s="4"/>
    </row>
    <row r="128" spans="3:9" ht="12.75" x14ac:dyDescent="0.2">
      <c r="C128" s="164"/>
      <c r="D128" s="165"/>
      <c r="E128" s="165"/>
      <c r="H128" s="4"/>
      <c r="I128" s="4"/>
    </row>
    <row r="129" spans="3:9" ht="12.75" x14ac:dyDescent="0.2">
      <c r="C129" s="164"/>
      <c r="D129" s="165"/>
      <c r="E129" s="165"/>
      <c r="H129" s="4"/>
      <c r="I129" s="4"/>
    </row>
    <row r="130" spans="3:9" ht="12.75" x14ac:dyDescent="0.2">
      <c r="C130" s="164"/>
      <c r="D130" s="165"/>
      <c r="E130" s="165"/>
      <c r="H130" s="4"/>
      <c r="I130" s="4"/>
    </row>
    <row r="131" spans="3:9" ht="12.75" x14ac:dyDescent="0.2">
      <c r="C131" s="164"/>
      <c r="D131" s="165"/>
      <c r="E131" s="165"/>
      <c r="H131" s="4"/>
      <c r="I131" s="4"/>
    </row>
    <row r="132" spans="3:9" ht="12.75" x14ac:dyDescent="0.2">
      <c r="C132" s="164"/>
      <c r="D132" s="165"/>
      <c r="E132" s="165"/>
      <c r="H132" s="4"/>
      <c r="I132" s="4"/>
    </row>
    <row r="133" spans="3:9" ht="12.75" x14ac:dyDescent="0.2">
      <c r="C133" s="164"/>
      <c r="D133" s="165"/>
      <c r="E133" s="165"/>
      <c r="H133" s="4"/>
      <c r="I133" s="4"/>
    </row>
    <row r="134" spans="3:9" ht="12.75" x14ac:dyDescent="0.2">
      <c r="C134" s="164"/>
      <c r="D134" s="165"/>
      <c r="E134" s="165"/>
      <c r="H134" s="4"/>
      <c r="I134" s="4"/>
    </row>
    <row r="135" spans="3:9" ht="12.75" x14ac:dyDescent="0.2">
      <c r="C135" s="164"/>
      <c r="D135" s="165"/>
      <c r="E135" s="165"/>
      <c r="H135" s="4"/>
      <c r="I135" s="4"/>
    </row>
    <row r="136" spans="3:9" ht="12.75" x14ac:dyDescent="0.2">
      <c r="C136" s="164"/>
      <c r="D136" s="165"/>
      <c r="E136" s="165"/>
      <c r="H136" s="4"/>
      <c r="I136" s="4"/>
    </row>
    <row r="137" spans="3:9" ht="12.75" x14ac:dyDescent="0.2">
      <c r="C137" s="164"/>
      <c r="D137" s="165"/>
      <c r="E137" s="165"/>
      <c r="H137" s="4"/>
      <c r="I137" s="4"/>
    </row>
    <row r="138" spans="3:9" ht="12.75" x14ac:dyDescent="0.2">
      <c r="C138" s="164"/>
      <c r="D138" s="165"/>
      <c r="E138" s="165"/>
      <c r="H138" s="4"/>
      <c r="I138" s="4"/>
    </row>
    <row r="139" spans="3:9" ht="12.75" x14ac:dyDescent="0.2">
      <c r="C139" s="164"/>
      <c r="D139" s="165"/>
      <c r="E139" s="165"/>
      <c r="H139" s="4"/>
      <c r="I139" s="4"/>
    </row>
    <row r="140" spans="3:9" ht="12.75" x14ac:dyDescent="0.2">
      <c r="C140" s="164"/>
      <c r="D140" s="165"/>
      <c r="E140" s="165"/>
      <c r="H140" s="4"/>
      <c r="I140" s="4"/>
    </row>
    <row r="141" spans="3:9" ht="12.75" x14ac:dyDescent="0.2">
      <c r="C141" s="164"/>
      <c r="D141" s="165"/>
      <c r="E141" s="165"/>
      <c r="H141" s="4"/>
      <c r="I141" s="4"/>
    </row>
    <row r="142" spans="3:9" ht="12.75" x14ac:dyDescent="0.2">
      <c r="C142" s="164"/>
      <c r="D142" s="165"/>
      <c r="E142" s="165"/>
      <c r="H142" s="4"/>
      <c r="I142" s="4"/>
    </row>
    <row r="143" spans="3:9" ht="12.75" x14ac:dyDescent="0.2">
      <c r="C143" s="164"/>
      <c r="D143" s="165"/>
      <c r="E143" s="165"/>
      <c r="H143" s="4"/>
      <c r="I143" s="4"/>
    </row>
    <row r="144" spans="3:9" ht="12.75" x14ac:dyDescent="0.2">
      <c r="C144" s="164"/>
      <c r="D144" s="165"/>
      <c r="E144" s="165"/>
      <c r="H144" s="4"/>
      <c r="I144" s="4"/>
    </row>
    <row r="145" spans="3:9" ht="12.75" x14ac:dyDescent="0.2">
      <c r="C145" s="164"/>
      <c r="D145" s="165"/>
      <c r="E145" s="165"/>
      <c r="H145" s="4"/>
      <c r="I145" s="4"/>
    </row>
    <row r="146" spans="3:9" ht="12.75" x14ac:dyDescent="0.2">
      <c r="C146" s="164"/>
      <c r="D146" s="165"/>
      <c r="E146" s="165"/>
      <c r="H146" s="4"/>
      <c r="I146" s="4"/>
    </row>
    <row r="147" spans="3:9" ht="12.75" x14ac:dyDescent="0.2">
      <c r="C147" s="164"/>
      <c r="D147" s="165"/>
      <c r="E147" s="165"/>
      <c r="H147" s="4"/>
      <c r="I147" s="4"/>
    </row>
    <row r="148" spans="3:9" ht="12.75" x14ac:dyDescent="0.2">
      <c r="C148" s="164"/>
      <c r="D148" s="165"/>
      <c r="E148" s="165"/>
      <c r="H148" s="4"/>
      <c r="I148" s="4"/>
    </row>
    <row r="149" spans="3:9" ht="12.75" x14ac:dyDescent="0.2">
      <c r="C149" s="164"/>
      <c r="D149" s="165"/>
      <c r="E149" s="165"/>
      <c r="H149" s="4"/>
      <c r="I149" s="4"/>
    </row>
    <row r="150" spans="3:9" ht="12.75" x14ac:dyDescent="0.2">
      <c r="C150" s="164"/>
      <c r="D150" s="165"/>
      <c r="E150" s="165"/>
      <c r="H150" s="4"/>
      <c r="I150" s="4"/>
    </row>
    <row r="151" spans="3:9" ht="12.75" x14ac:dyDescent="0.2">
      <c r="C151" s="164"/>
      <c r="D151" s="165"/>
      <c r="E151" s="165"/>
      <c r="H151" s="4"/>
      <c r="I151" s="4"/>
    </row>
    <row r="152" spans="3:9" ht="12.75" x14ac:dyDescent="0.2">
      <c r="C152" s="164"/>
      <c r="D152" s="165"/>
      <c r="E152" s="165"/>
      <c r="H152" s="4"/>
      <c r="I152" s="4"/>
    </row>
    <row r="153" spans="3:9" ht="12.75" x14ac:dyDescent="0.2">
      <c r="C153" s="164"/>
      <c r="D153" s="165"/>
      <c r="E153" s="165"/>
      <c r="H153" s="4"/>
      <c r="I153" s="4"/>
    </row>
    <row r="154" spans="3:9" ht="12.75" x14ac:dyDescent="0.2">
      <c r="C154" s="164"/>
      <c r="D154" s="165"/>
      <c r="E154" s="165"/>
      <c r="H154" s="4"/>
      <c r="I154" s="4"/>
    </row>
    <row r="155" spans="3:9" ht="12.75" x14ac:dyDescent="0.2">
      <c r="C155" s="164"/>
      <c r="D155" s="165"/>
      <c r="E155" s="165"/>
      <c r="H155" s="4"/>
      <c r="I155" s="4"/>
    </row>
    <row r="156" spans="3:9" ht="12.75" x14ac:dyDescent="0.2">
      <c r="C156" s="164"/>
      <c r="D156" s="165"/>
      <c r="E156" s="165"/>
      <c r="H156" s="4"/>
      <c r="I156" s="4"/>
    </row>
    <row r="157" spans="3:9" ht="12.75" x14ac:dyDescent="0.2">
      <c r="C157" s="164"/>
      <c r="D157" s="165"/>
      <c r="E157" s="165"/>
      <c r="H157" s="4"/>
      <c r="I157" s="4"/>
    </row>
    <row r="158" spans="3:9" ht="12.75" x14ac:dyDescent="0.2">
      <c r="C158" s="164"/>
      <c r="D158" s="165"/>
      <c r="E158" s="165"/>
      <c r="H158" s="4"/>
      <c r="I158" s="4"/>
    </row>
    <row r="159" spans="3:9" ht="12.75" x14ac:dyDescent="0.2">
      <c r="C159" s="164"/>
      <c r="D159" s="165"/>
      <c r="E159" s="165"/>
      <c r="H159" s="4"/>
      <c r="I159" s="4"/>
    </row>
    <row r="160" spans="3:9" ht="12.75" x14ac:dyDescent="0.2">
      <c r="C160" s="164"/>
      <c r="D160" s="165"/>
      <c r="E160" s="165"/>
      <c r="H160" s="4"/>
      <c r="I160" s="4"/>
    </row>
    <row r="161" spans="3:9" ht="12.75" x14ac:dyDescent="0.2">
      <c r="C161" s="164"/>
      <c r="D161" s="165"/>
      <c r="E161" s="165"/>
      <c r="H161" s="4"/>
      <c r="I161" s="4"/>
    </row>
    <row r="162" spans="3:9" ht="12.75" x14ac:dyDescent="0.2">
      <c r="C162" s="164"/>
      <c r="D162" s="165"/>
      <c r="E162" s="165"/>
      <c r="H162" s="4"/>
      <c r="I162" s="4"/>
    </row>
    <row r="163" spans="3:9" ht="12.75" x14ac:dyDescent="0.2">
      <c r="C163" s="164"/>
      <c r="D163" s="165"/>
      <c r="E163" s="165"/>
      <c r="H163" s="4"/>
      <c r="I163" s="4"/>
    </row>
    <row r="164" spans="3:9" ht="12.75" x14ac:dyDescent="0.2">
      <c r="C164" s="164"/>
      <c r="D164" s="165"/>
      <c r="E164" s="165"/>
      <c r="H164" s="4"/>
      <c r="I164" s="4"/>
    </row>
    <row r="165" spans="3:9" ht="12.75" x14ac:dyDescent="0.2">
      <c r="C165" s="164"/>
      <c r="D165" s="165"/>
      <c r="E165" s="165"/>
      <c r="H165" s="4"/>
      <c r="I165" s="4"/>
    </row>
    <row r="166" spans="3:9" ht="12.75" x14ac:dyDescent="0.2">
      <c r="C166" s="164"/>
      <c r="D166" s="165"/>
      <c r="E166" s="165"/>
      <c r="H166" s="4"/>
      <c r="I166" s="4"/>
    </row>
    <row r="167" spans="3:9" ht="12.75" x14ac:dyDescent="0.2">
      <c r="C167" s="164"/>
      <c r="D167" s="165"/>
      <c r="E167" s="165"/>
      <c r="H167" s="4"/>
      <c r="I167" s="4"/>
    </row>
    <row r="168" spans="3:9" ht="12.75" x14ac:dyDescent="0.2">
      <c r="C168" s="164"/>
      <c r="D168" s="165"/>
      <c r="E168" s="165"/>
      <c r="H168" s="4"/>
      <c r="I168" s="4"/>
    </row>
    <row r="169" spans="3:9" ht="12.75" x14ac:dyDescent="0.2">
      <c r="C169" s="164"/>
      <c r="D169" s="165"/>
      <c r="E169" s="165"/>
      <c r="H169" s="4"/>
      <c r="I169" s="4"/>
    </row>
    <row r="170" spans="3:9" ht="12.75" x14ac:dyDescent="0.2">
      <c r="C170" s="164"/>
      <c r="D170" s="165"/>
      <c r="E170" s="165"/>
      <c r="H170" s="4"/>
      <c r="I170" s="4"/>
    </row>
    <row r="171" spans="3:9" ht="12.75" x14ac:dyDescent="0.2">
      <c r="C171" s="164"/>
      <c r="D171" s="165"/>
      <c r="E171" s="165"/>
      <c r="H171" s="4"/>
      <c r="I171" s="4"/>
    </row>
    <row r="172" spans="3:9" ht="12.75" x14ac:dyDescent="0.2">
      <c r="C172" s="164"/>
      <c r="D172" s="165"/>
      <c r="E172" s="165"/>
      <c r="H172" s="4"/>
      <c r="I172" s="4"/>
    </row>
    <row r="173" spans="3:9" ht="12.75" x14ac:dyDescent="0.2">
      <c r="C173" s="164"/>
      <c r="D173" s="165"/>
      <c r="E173" s="165"/>
      <c r="H173" s="4"/>
      <c r="I173" s="4"/>
    </row>
    <row r="174" spans="3:9" ht="12.75" x14ac:dyDescent="0.2">
      <c r="C174" s="164"/>
      <c r="D174" s="165"/>
      <c r="E174" s="165"/>
      <c r="H174" s="4"/>
      <c r="I174" s="4"/>
    </row>
    <row r="175" spans="3:9" ht="12.75" x14ac:dyDescent="0.2">
      <c r="C175" s="164"/>
      <c r="D175" s="165"/>
      <c r="E175" s="165"/>
      <c r="H175" s="4"/>
      <c r="I175" s="4"/>
    </row>
    <row r="176" spans="3:9" ht="12.75" x14ac:dyDescent="0.2">
      <c r="C176" s="164"/>
      <c r="D176" s="165"/>
      <c r="E176" s="165"/>
      <c r="H176" s="4"/>
      <c r="I176" s="4"/>
    </row>
    <row r="177" spans="3:9" ht="12.75" x14ac:dyDescent="0.2">
      <c r="C177" s="164"/>
      <c r="D177" s="165"/>
      <c r="E177" s="165"/>
      <c r="H177" s="4"/>
      <c r="I177" s="4"/>
    </row>
    <row r="178" spans="3:9" ht="12.75" x14ac:dyDescent="0.2">
      <c r="C178" s="164"/>
      <c r="D178" s="165"/>
      <c r="E178" s="165"/>
      <c r="H178" s="4"/>
      <c r="I178" s="4"/>
    </row>
    <row r="179" spans="3:9" ht="12.75" x14ac:dyDescent="0.2">
      <c r="C179" s="164"/>
      <c r="D179" s="165"/>
      <c r="E179" s="165"/>
      <c r="H179" s="4"/>
      <c r="I179" s="4"/>
    </row>
    <row r="180" spans="3:9" ht="12.75" x14ac:dyDescent="0.2">
      <c r="C180" s="164"/>
      <c r="D180" s="165"/>
      <c r="E180" s="165"/>
      <c r="H180" s="4"/>
      <c r="I180" s="4"/>
    </row>
    <row r="181" spans="3:9" ht="12.75" x14ac:dyDescent="0.2">
      <c r="C181" s="164"/>
      <c r="D181" s="165"/>
      <c r="E181" s="165"/>
      <c r="H181" s="4"/>
      <c r="I181" s="4"/>
    </row>
    <row r="182" spans="3:9" ht="12.75" x14ac:dyDescent="0.2">
      <c r="C182" s="164"/>
      <c r="D182" s="165"/>
      <c r="E182" s="165"/>
      <c r="H182" s="4"/>
      <c r="I182" s="4"/>
    </row>
    <row r="183" spans="3:9" ht="12.75" x14ac:dyDescent="0.2">
      <c r="C183" s="164"/>
      <c r="D183" s="165"/>
      <c r="E183" s="165"/>
      <c r="H183" s="4"/>
      <c r="I183" s="4"/>
    </row>
    <row r="184" spans="3:9" ht="12.75" x14ac:dyDescent="0.2">
      <c r="C184" s="164"/>
      <c r="D184" s="165"/>
      <c r="E184" s="165"/>
      <c r="H184" s="4"/>
      <c r="I184" s="4"/>
    </row>
    <row r="185" spans="3:9" ht="12.75" x14ac:dyDescent="0.2">
      <c r="C185" s="164"/>
      <c r="D185" s="165"/>
      <c r="E185" s="165"/>
      <c r="H185" s="4"/>
      <c r="I185" s="4"/>
    </row>
    <row r="186" spans="3:9" ht="12.75" x14ac:dyDescent="0.2">
      <c r="C186" s="164"/>
      <c r="D186" s="165"/>
      <c r="E186" s="165"/>
      <c r="H186" s="4"/>
      <c r="I186" s="4"/>
    </row>
    <row r="187" spans="3:9" ht="12.75" x14ac:dyDescent="0.2">
      <c r="C187" s="164"/>
      <c r="D187" s="165"/>
      <c r="E187" s="165"/>
      <c r="H187" s="4"/>
      <c r="I187" s="4"/>
    </row>
    <row r="188" spans="3:9" ht="12.75" x14ac:dyDescent="0.2">
      <c r="C188" s="164"/>
      <c r="D188" s="165"/>
      <c r="E188" s="165"/>
      <c r="H188" s="4"/>
      <c r="I188" s="4"/>
    </row>
    <row r="189" spans="3:9" ht="12.75" x14ac:dyDescent="0.2">
      <c r="C189" s="164"/>
      <c r="D189" s="165"/>
      <c r="E189" s="165"/>
      <c r="H189" s="4"/>
      <c r="I189" s="4"/>
    </row>
    <row r="190" spans="3:9" ht="12.75" x14ac:dyDescent="0.2">
      <c r="C190" s="164"/>
      <c r="D190" s="165"/>
      <c r="E190" s="165"/>
      <c r="H190" s="4"/>
      <c r="I190" s="4"/>
    </row>
    <row r="191" spans="3:9" ht="12.75" x14ac:dyDescent="0.2">
      <c r="C191" s="164"/>
      <c r="D191" s="165"/>
      <c r="E191" s="165"/>
      <c r="H191" s="4"/>
      <c r="I191" s="4"/>
    </row>
    <row r="192" spans="3:9" ht="12.75" x14ac:dyDescent="0.2">
      <c r="C192" s="164"/>
      <c r="D192" s="165"/>
      <c r="E192" s="165"/>
      <c r="H192" s="4"/>
      <c r="I192" s="4"/>
    </row>
    <row r="193" spans="3:9" ht="12.75" x14ac:dyDescent="0.2">
      <c r="C193" s="164"/>
      <c r="D193" s="165"/>
      <c r="E193" s="165"/>
      <c r="H193" s="4"/>
      <c r="I193" s="4"/>
    </row>
    <row r="194" spans="3:9" ht="12.75" x14ac:dyDescent="0.2">
      <c r="C194" s="164"/>
      <c r="D194" s="165"/>
      <c r="E194" s="165"/>
      <c r="H194" s="4"/>
      <c r="I194" s="4"/>
    </row>
    <row r="195" spans="3:9" ht="12.75" x14ac:dyDescent="0.2">
      <c r="C195" s="164"/>
      <c r="D195" s="165"/>
      <c r="E195" s="165"/>
      <c r="H195" s="4"/>
      <c r="I195" s="4"/>
    </row>
    <row r="196" spans="3:9" ht="12.75" x14ac:dyDescent="0.2">
      <c r="C196" s="164"/>
      <c r="D196" s="165"/>
      <c r="E196" s="165"/>
      <c r="H196" s="4"/>
      <c r="I196" s="4"/>
    </row>
    <row r="197" spans="3:9" ht="12.75" x14ac:dyDescent="0.2">
      <c r="C197" s="164"/>
      <c r="D197" s="165"/>
      <c r="E197" s="165"/>
      <c r="H197" s="4"/>
      <c r="I197" s="4"/>
    </row>
    <row r="198" spans="3:9" ht="12.75" x14ac:dyDescent="0.2">
      <c r="C198" s="164"/>
      <c r="D198" s="165"/>
      <c r="E198" s="165"/>
      <c r="H198" s="4"/>
      <c r="I198" s="4"/>
    </row>
    <row r="199" spans="3:9" ht="12.75" x14ac:dyDescent="0.2">
      <c r="C199" s="164"/>
      <c r="D199" s="165"/>
      <c r="E199" s="165"/>
      <c r="H199" s="4"/>
      <c r="I199" s="4"/>
    </row>
    <row r="200" spans="3:9" ht="12.75" x14ac:dyDescent="0.2">
      <c r="C200" s="164"/>
      <c r="D200" s="165"/>
      <c r="E200" s="165"/>
      <c r="H200" s="4"/>
      <c r="I200" s="4"/>
    </row>
    <row r="201" spans="3:9" ht="12.75" x14ac:dyDescent="0.2">
      <c r="C201" s="164"/>
      <c r="D201" s="165"/>
      <c r="E201" s="165"/>
      <c r="H201" s="4"/>
      <c r="I201" s="4"/>
    </row>
    <row r="202" spans="3:9" ht="12.75" x14ac:dyDescent="0.2">
      <c r="C202" s="164"/>
      <c r="D202" s="165"/>
      <c r="E202" s="165"/>
      <c r="H202" s="4"/>
      <c r="I202" s="4"/>
    </row>
    <row r="203" spans="3:9" ht="12.75" x14ac:dyDescent="0.2">
      <c r="C203" s="164"/>
      <c r="D203" s="165"/>
      <c r="E203" s="165"/>
      <c r="H203" s="4"/>
      <c r="I203" s="4"/>
    </row>
    <row r="204" spans="3:9" ht="12.75" x14ac:dyDescent="0.2">
      <c r="C204" s="164"/>
      <c r="D204" s="165"/>
      <c r="E204" s="165"/>
      <c r="H204" s="4"/>
      <c r="I204" s="4"/>
    </row>
    <row r="205" spans="3:9" ht="12.75" x14ac:dyDescent="0.2">
      <c r="C205" s="164"/>
      <c r="D205" s="165"/>
      <c r="E205" s="165"/>
      <c r="H205" s="4"/>
      <c r="I205" s="4"/>
    </row>
    <row r="206" spans="3:9" ht="12.75" x14ac:dyDescent="0.2">
      <c r="C206" s="164"/>
      <c r="D206" s="165"/>
      <c r="E206" s="165"/>
      <c r="H206" s="4"/>
      <c r="I206" s="4"/>
    </row>
    <row r="207" spans="3:9" ht="12.75" x14ac:dyDescent="0.2">
      <c r="C207" s="164"/>
      <c r="D207" s="165"/>
      <c r="E207" s="165"/>
      <c r="H207" s="4"/>
      <c r="I207" s="4"/>
    </row>
    <row r="208" spans="3:9" ht="12.75" x14ac:dyDescent="0.2">
      <c r="C208" s="164"/>
      <c r="D208" s="165"/>
      <c r="E208" s="165"/>
      <c r="H208" s="4"/>
      <c r="I208" s="4"/>
    </row>
    <row r="209" spans="3:9" ht="12.75" x14ac:dyDescent="0.2">
      <c r="C209" s="164"/>
      <c r="D209" s="165"/>
      <c r="E209" s="165"/>
      <c r="H209" s="4"/>
      <c r="I209" s="4"/>
    </row>
    <row r="210" spans="3:9" ht="12.75" x14ac:dyDescent="0.2">
      <c r="C210" s="164"/>
      <c r="D210" s="165"/>
      <c r="E210" s="165"/>
      <c r="H210" s="4"/>
      <c r="I210" s="4"/>
    </row>
    <row r="211" spans="3:9" ht="12.75" x14ac:dyDescent="0.2">
      <c r="C211" s="164"/>
      <c r="D211" s="165"/>
      <c r="E211" s="165"/>
      <c r="H211" s="4"/>
      <c r="I211" s="4"/>
    </row>
    <row r="212" spans="3:9" ht="12.75" x14ac:dyDescent="0.2">
      <c r="C212" s="164"/>
      <c r="D212" s="165"/>
      <c r="E212" s="165"/>
      <c r="H212" s="4"/>
      <c r="I212" s="4"/>
    </row>
    <row r="213" spans="3:9" ht="12.75" x14ac:dyDescent="0.2">
      <c r="C213" s="164"/>
      <c r="D213" s="165"/>
      <c r="E213" s="165"/>
      <c r="H213" s="4"/>
      <c r="I213" s="4"/>
    </row>
    <row r="214" spans="3:9" ht="12.75" x14ac:dyDescent="0.2">
      <c r="C214" s="164"/>
      <c r="D214" s="165"/>
      <c r="E214" s="165"/>
      <c r="H214" s="4"/>
      <c r="I214" s="4"/>
    </row>
    <row r="215" spans="3:9" ht="12.75" x14ac:dyDescent="0.2">
      <c r="C215" s="164"/>
      <c r="D215" s="165"/>
      <c r="E215" s="165"/>
      <c r="H215" s="4"/>
      <c r="I215" s="4"/>
    </row>
    <row r="216" spans="3:9" ht="12.75" x14ac:dyDescent="0.2">
      <c r="C216" s="164"/>
      <c r="D216" s="165"/>
      <c r="E216" s="165"/>
      <c r="H216" s="4"/>
      <c r="I216" s="4"/>
    </row>
    <row r="217" spans="3:9" ht="12.75" x14ac:dyDescent="0.2">
      <c r="C217" s="164"/>
      <c r="D217" s="165"/>
      <c r="E217" s="165"/>
      <c r="H217" s="4"/>
      <c r="I217" s="4"/>
    </row>
    <row r="218" spans="3:9" ht="12.75" x14ac:dyDescent="0.2">
      <c r="C218" s="164"/>
      <c r="D218" s="165"/>
      <c r="E218" s="165"/>
      <c r="H218" s="4"/>
      <c r="I218" s="4"/>
    </row>
    <row r="219" spans="3:9" ht="12.75" x14ac:dyDescent="0.2">
      <c r="C219" s="164"/>
      <c r="D219" s="165"/>
      <c r="E219" s="165"/>
      <c r="H219" s="4"/>
      <c r="I219" s="4"/>
    </row>
    <row r="220" spans="3:9" ht="12.75" x14ac:dyDescent="0.2">
      <c r="C220" s="164"/>
      <c r="D220" s="165"/>
      <c r="E220" s="165"/>
      <c r="H220" s="4"/>
      <c r="I220" s="4"/>
    </row>
    <row r="221" spans="3:9" ht="12.75" x14ac:dyDescent="0.2">
      <c r="C221" s="164"/>
      <c r="D221" s="165"/>
      <c r="E221" s="165"/>
      <c r="H221" s="4"/>
      <c r="I221" s="4"/>
    </row>
    <row r="222" spans="3:9" ht="12.75" x14ac:dyDescent="0.2">
      <c r="C222" s="164"/>
      <c r="D222" s="165"/>
      <c r="E222" s="165"/>
      <c r="H222" s="4"/>
      <c r="I222" s="4"/>
    </row>
    <row r="223" spans="3:9" ht="12.75" x14ac:dyDescent="0.2">
      <c r="C223" s="164"/>
      <c r="D223" s="165"/>
      <c r="E223" s="165"/>
      <c r="H223" s="4"/>
      <c r="I223" s="4"/>
    </row>
    <row r="224" spans="3:9" ht="12.75" x14ac:dyDescent="0.2">
      <c r="C224" s="164"/>
      <c r="D224" s="165"/>
      <c r="E224" s="165"/>
      <c r="H224" s="4"/>
      <c r="I224" s="4"/>
    </row>
    <row r="225" spans="3:9" ht="12.75" x14ac:dyDescent="0.2">
      <c r="C225" s="164"/>
      <c r="D225" s="165"/>
      <c r="E225" s="165"/>
      <c r="H225" s="4"/>
      <c r="I225" s="4"/>
    </row>
    <row r="226" spans="3:9" ht="12.75" x14ac:dyDescent="0.2">
      <c r="C226" s="164"/>
      <c r="D226" s="165"/>
      <c r="E226" s="165"/>
      <c r="H226" s="4"/>
      <c r="I226" s="4"/>
    </row>
    <row r="227" spans="3:9" ht="12.75" x14ac:dyDescent="0.2">
      <c r="C227" s="164"/>
      <c r="D227" s="165"/>
      <c r="E227" s="165"/>
      <c r="H227" s="4"/>
      <c r="I227" s="4"/>
    </row>
    <row r="228" spans="3:9" ht="12.75" x14ac:dyDescent="0.2">
      <c r="C228" s="164"/>
      <c r="D228" s="165"/>
      <c r="E228" s="165"/>
      <c r="H228" s="4"/>
      <c r="I228" s="4"/>
    </row>
    <row r="229" spans="3:9" ht="12.75" x14ac:dyDescent="0.2">
      <c r="C229" s="164"/>
      <c r="D229" s="165"/>
      <c r="E229" s="165"/>
      <c r="H229" s="4"/>
      <c r="I229" s="4"/>
    </row>
    <row r="230" spans="3:9" ht="12.75" x14ac:dyDescent="0.2">
      <c r="C230" s="164"/>
      <c r="D230" s="165"/>
      <c r="E230" s="165"/>
      <c r="H230" s="4"/>
      <c r="I230" s="4"/>
    </row>
    <row r="231" spans="3:9" ht="12.75" x14ac:dyDescent="0.2">
      <c r="C231" s="164"/>
      <c r="D231" s="165"/>
      <c r="E231" s="165"/>
      <c r="H231" s="4"/>
      <c r="I231" s="4"/>
    </row>
    <row r="232" spans="3:9" ht="12.75" x14ac:dyDescent="0.2">
      <c r="C232" s="164"/>
      <c r="D232" s="165"/>
      <c r="E232" s="165"/>
      <c r="H232" s="4"/>
      <c r="I232" s="4"/>
    </row>
    <row r="233" spans="3:9" ht="12.75" x14ac:dyDescent="0.2">
      <c r="C233" s="164"/>
      <c r="D233" s="165"/>
      <c r="E233" s="165"/>
      <c r="H233" s="4"/>
      <c r="I233" s="4"/>
    </row>
    <row r="234" spans="3:9" ht="12.75" x14ac:dyDescent="0.2">
      <c r="C234" s="164"/>
      <c r="D234" s="165"/>
      <c r="E234" s="165"/>
      <c r="H234" s="4"/>
      <c r="I234" s="4"/>
    </row>
    <row r="235" spans="3:9" ht="12.75" x14ac:dyDescent="0.2">
      <c r="C235" s="164"/>
      <c r="D235" s="165"/>
      <c r="E235" s="165"/>
      <c r="H235" s="4"/>
      <c r="I235" s="4"/>
    </row>
    <row r="236" spans="3:9" ht="12.75" x14ac:dyDescent="0.2">
      <c r="C236" s="164"/>
      <c r="D236" s="165"/>
      <c r="E236" s="165"/>
      <c r="H236" s="4"/>
      <c r="I236" s="4"/>
    </row>
    <row r="237" spans="3:9" ht="12.75" x14ac:dyDescent="0.2">
      <c r="C237" s="164"/>
      <c r="D237" s="165"/>
      <c r="E237" s="165"/>
      <c r="H237" s="4"/>
      <c r="I237" s="4"/>
    </row>
    <row r="238" spans="3:9" ht="12.75" x14ac:dyDescent="0.2">
      <c r="C238" s="164"/>
      <c r="D238" s="165"/>
      <c r="E238" s="165"/>
      <c r="H238" s="4"/>
      <c r="I238" s="4"/>
    </row>
    <row r="239" spans="3:9" ht="12.75" x14ac:dyDescent="0.2">
      <c r="C239" s="164"/>
      <c r="D239" s="165"/>
      <c r="E239" s="165"/>
      <c r="H239" s="4"/>
      <c r="I239" s="4"/>
    </row>
    <row r="240" spans="3:9" ht="12.75" x14ac:dyDescent="0.2">
      <c r="C240" s="164"/>
      <c r="D240" s="165"/>
      <c r="E240" s="165"/>
      <c r="H240" s="4"/>
      <c r="I240" s="4"/>
    </row>
    <row r="241" spans="3:9" ht="12.75" x14ac:dyDescent="0.2">
      <c r="C241" s="164"/>
      <c r="D241" s="165"/>
      <c r="E241" s="165"/>
      <c r="H241" s="4"/>
      <c r="I241" s="4"/>
    </row>
    <row r="242" spans="3:9" ht="12.75" x14ac:dyDescent="0.2">
      <c r="C242" s="164"/>
      <c r="D242" s="165"/>
      <c r="E242" s="165"/>
      <c r="H242" s="4"/>
      <c r="I242" s="4"/>
    </row>
    <row r="243" spans="3:9" ht="12.75" x14ac:dyDescent="0.2">
      <c r="C243" s="164"/>
      <c r="D243" s="165"/>
      <c r="E243" s="165"/>
      <c r="H243" s="4"/>
      <c r="I243" s="4"/>
    </row>
    <row r="244" spans="3:9" ht="12.75" x14ac:dyDescent="0.2">
      <c r="C244" s="164"/>
      <c r="D244" s="165"/>
      <c r="E244" s="165"/>
      <c r="H244" s="4"/>
      <c r="I244" s="4"/>
    </row>
    <row r="245" spans="3:9" ht="12.75" x14ac:dyDescent="0.2">
      <c r="C245" s="164"/>
      <c r="D245" s="165"/>
      <c r="E245" s="165"/>
      <c r="H245" s="4"/>
      <c r="I245" s="4"/>
    </row>
    <row r="246" spans="3:9" ht="12.75" x14ac:dyDescent="0.2">
      <c r="C246" s="164"/>
      <c r="D246" s="165"/>
      <c r="E246" s="165"/>
      <c r="H246" s="4"/>
      <c r="I246" s="4"/>
    </row>
    <row r="247" spans="3:9" ht="12.75" x14ac:dyDescent="0.2">
      <c r="C247" s="164"/>
      <c r="D247" s="165"/>
      <c r="E247" s="165"/>
      <c r="H247" s="4"/>
      <c r="I247" s="4"/>
    </row>
    <row r="248" spans="3:9" ht="12.75" x14ac:dyDescent="0.2">
      <c r="C248" s="164"/>
      <c r="D248" s="165"/>
      <c r="E248" s="165"/>
      <c r="H248" s="4"/>
      <c r="I248" s="4"/>
    </row>
    <row r="249" spans="3:9" ht="12.75" x14ac:dyDescent="0.2">
      <c r="C249" s="164"/>
      <c r="D249" s="165"/>
      <c r="E249" s="165"/>
      <c r="H249" s="4"/>
      <c r="I249" s="4"/>
    </row>
    <row r="250" spans="3:9" ht="12.75" x14ac:dyDescent="0.2">
      <c r="C250" s="164"/>
      <c r="D250" s="165"/>
      <c r="E250" s="165"/>
      <c r="H250" s="4"/>
      <c r="I250" s="4"/>
    </row>
    <row r="251" spans="3:9" ht="12.75" x14ac:dyDescent="0.2">
      <c r="C251" s="164"/>
      <c r="D251" s="165"/>
      <c r="E251" s="165"/>
      <c r="H251" s="4"/>
      <c r="I251" s="4"/>
    </row>
    <row r="252" spans="3:9" ht="12.75" x14ac:dyDescent="0.2">
      <c r="C252" s="164"/>
      <c r="D252" s="165"/>
      <c r="E252" s="165"/>
      <c r="H252" s="4"/>
      <c r="I252" s="4"/>
    </row>
    <row r="253" spans="3:9" ht="12.75" x14ac:dyDescent="0.2">
      <c r="C253" s="164"/>
      <c r="D253" s="165"/>
      <c r="E253" s="165"/>
      <c r="H253" s="4"/>
      <c r="I253" s="4"/>
    </row>
    <row r="254" spans="3:9" ht="12.75" x14ac:dyDescent="0.2">
      <c r="C254" s="164"/>
      <c r="D254" s="165"/>
      <c r="E254" s="165"/>
      <c r="H254" s="4"/>
      <c r="I254" s="4"/>
    </row>
    <row r="255" spans="3:9" ht="12.75" x14ac:dyDescent="0.2">
      <c r="C255" s="164"/>
      <c r="D255" s="165"/>
      <c r="E255" s="165"/>
      <c r="H255" s="4"/>
      <c r="I255" s="4"/>
    </row>
    <row r="256" spans="3:9" ht="12.75" x14ac:dyDescent="0.2">
      <c r="C256" s="164"/>
      <c r="D256" s="165"/>
      <c r="E256" s="165"/>
      <c r="H256" s="4"/>
      <c r="I256" s="4"/>
    </row>
    <row r="257" spans="3:9" ht="12.75" x14ac:dyDescent="0.2">
      <c r="C257" s="164"/>
      <c r="D257" s="165"/>
      <c r="E257" s="165"/>
      <c r="H257" s="4"/>
      <c r="I257" s="4"/>
    </row>
    <row r="258" spans="3:9" ht="12.75" x14ac:dyDescent="0.2">
      <c r="C258" s="164"/>
      <c r="D258" s="165"/>
      <c r="E258" s="165"/>
      <c r="H258" s="4"/>
      <c r="I258" s="4"/>
    </row>
    <row r="259" spans="3:9" ht="12.75" x14ac:dyDescent="0.2">
      <c r="C259" s="164"/>
      <c r="D259" s="165"/>
      <c r="E259" s="165"/>
      <c r="H259" s="4"/>
      <c r="I259" s="4"/>
    </row>
    <row r="260" spans="3:9" ht="12.75" x14ac:dyDescent="0.2">
      <c r="C260" s="164"/>
      <c r="D260" s="165"/>
      <c r="E260" s="165"/>
      <c r="H260" s="4"/>
      <c r="I260" s="4"/>
    </row>
    <row r="261" spans="3:9" ht="12.75" x14ac:dyDescent="0.2">
      <c r="C261" s="164"/>
      <c r="D261" s="165"/>
      <c r="E261" s="165"/>
      <c r="H261" s="4"/>
      <c r="I261" s="4"/>
    </row>
    <row r="262" spans="3:9" ht="12.75" x14ac:dyDescent="0.2">
      <c r="C262" s="164"/>
      <c r="D262" s="165"/>
      <c r="E262" s="165"/>
      <c r="H262" s="4"/>
      <c r="I262" s="4"/>
    </row>
    <row r="263" spans="3:9" ht="12.75" x14ac:dyDescent="0.2">
      <c r="C263" s="164"/>
      <c r="D263" s="165"/>
      <c r="E263" s="165"/>
      <c r="H263" s="4"/>
      <c r="I263" s="4"/>
    </row>
    <row r="264" spans="3:9" ht="12.75" x14ac:dyDescent="0.2">
      <c r="C264" s="164"/>
      <c r="D264" s="165"/>
      <c r="E264" s="165"/>
      <c r="H264" s="4"/>
      <c r="I264" s="4"/>
    </row>
    <row r="265" spans="3:9" ht="12.75" x14ac:dyDescent="0.2">
      <c r="C265" s="164"/>
      <c r="D265" s="165"/>
      <c r="E265" s="165"/>
      <c r="H265" s="4"/>
      <c r="I265" s="4"/>
    </row>
    <row r="266" spans="3:9" ht="12.75" x14ac:dyDescent="0.2">
      <c r="C266" s="164"/>
      <c r="D266" s="165"/>
      <c r="E266" s="165"/>
      <c r="H266" s="4"/>
      <c r="I266" s="4"/>
    </row>
    <row r="267" spans="3:9" ht="12.75" x14ac:dyDescent="0.2">
      <c r="C267" s="164"/>
      <c r="D267" s="165"/>
      <c r="E267" s="165"/>
      <c r="H267" s="4"/>
      <c r="I267" s="4"/>
    </row>
    <row r="268" spans="3:9" ht="12.75" x14ac:dyDescent="0.2">
      <c r="C268" s="164"/>
      <c r="D268" s="165"/>
      <c r="E268" s="165"/>
      <c r="H268" s="4"/>
      <c r="I268" s="4"/>
    </row>
    <row r="269" spans="3:9" ht="12.75" x14ac:dyDescent="0.2">
      <c r="C269" s="164"/>
      <c r="D269" s="165"/>
      <c r="E269" s="165"/>
      <c r="H269" s="4"/>
      <c r="I269" s="4"/>
    </row>
    <row r="270" spans="3:9" ht="12.75" x14ac:dyDescent="0.2">
      <c r="C270" s="164"/>
      <c r="D270" s="165"/>
      <c r="E270" s="165"/>
      <c r="H270" s="4"/>
      <c r="I270" s="4"/>
    </row>
    <row r="271" spans="3:9" ht="12.75" x14ac:dyDescent="0.2">
      <c r="C271" s="164"/>
      <c r="D271" s="165"/>
      <c r="E271" s="165"/>
      <c r="H271" s="4"/>
      <c r="I271" s="4"/>
    </row>
    <row r="272" spans="3:9" ht="12.75" x14ac:dyDescent="0.2">
      <c r="C272" s="164"/>
      <c r="D272" s="165"/>
      <c r="E272" s="165"/>
      <c r="H272" s="4"/>
      <c r="I272" s="4"/>
    </row>
    <row r="273" spans="3:9" ht="12.75" x14ac:dyDescent="0.2">
      <c r="C273" s="164"/>
      <c r="D273" s="165"/>
      <c r="E273" s="165"/>
      <c r="H273" s="4"/>
      <c r="I273" s="4"/>
    </row>
    <row r="274" spans="3:9" ht="12.75" x14ac:dyDescent="0.2">
      <c r="C274" s="164"/>
      <c r="D274" s="165"/>
      <c r="E274" s="165"/>
      <c r="H274" s="4"/>
      <c r="I274" s="4"/>
    </row>
    <row r="275" spans="3:9" ht="12.75" x14ac:dyDescent="0.2">
      <c r="C275" s="164"/>
      <c r="D275" s="165"/>
      <c r="E275" s="165"/>
      <c r="H275" s="4"/>
      <c r="I275" s="4"/>
    </row>
    <row r="276" spans="3:9" ht="12.75" x14ac:dyDescent="0.2">
      <c r="C276" s="164"/>
      <c r="D276" s="165"/>
      <c r="E276" s="165"/>
      <c r="H276" s="4"/>
      <c r="I276" s="4"/>
    </row>
    <row r="277" spans="3:9" ht="12.75" x14ac:dyDescent="0.2">
      <c r="C277" s="164"/>
      <c r="D277" s="165"/>
      <c r="E277" s="165"/>
      <c r="H277" s="4"/>
      <c r="I277" s="4"/>
    </row>
    <row r="278" spans="3:9" ht="12.75" x14ac:dyDescent="0.2">
      <c r="C278" s="164"/>
      <c r="D278" s="165"/>
      <c r="E278" s="165"/>
      <c r="H278" s="4"/>
      <c r="I278" s="4"/>
    </row>
    <row r="279" spans="3:9" ht="12.75" x14ac:dyDescent="0.2">
      <c r="C279" s="164"/>
      <c r="D279" s="165"/>
      <c r="E279" s="165"/>
      <c r="H279" s="4"/>
      <c r="I279" s="4"/>
    </row>
    <row r="280" spans="3:9" ht="12.75" x14ac:dyDescent="0.2">
      <c r="C280" s="164"/>
      <c r="D280" s="165"/>
      <c r="E280" s="165"/>
      <c r="H280" s="4"/>
      <c r="I280" s="4"/>
    </row>
    <row r="281" spans="3:9" ht="12.75" x14ac:dyDescent="0.2">
      <c r="C281" s="164"/>
      <c r="D281" s="165"/>
      <c r="E281" s="165"/>
      <c r="H281" s="4"/>
      <c r="I281" s="4"/>
    </row>
    <row r="282" spans="3:9" ht="12.75" x14ac:dyDescent="0.2">
      <c r="C282" s="164"/>
      <c r="D282" s="165"/>
      <c r="E282" s="165"/>
      <c r="H282" s="4"/>
      <c r="I282" s="4"/>
    </row>
    <row r="283" spans="3:9" ht="12.75" x14ac:dyDescent="0.2">
      <c r="C283" s="164"/>
      <c r="D283" s="165"/>
      <c r="E283" s="165"/>
      <c r="H283" s="4"/>
      <c r="I283" s="4"/>
    </row>
    <row r="284" spans="3:9" ht="12.75" x14ac:dyDescent="0.2">
      <c r="C284" s="164"/>
      <c r="D284" s="165"/>
      <c r="E284" s="165"/>
      <c r="H284" s="4"/>
      <c r="I284" s="4"/>
    </row>
    <row r="285" spans="3:9" ht="12.75" x14ac:dyDescent="0.2">
      <c r="C285" s="164"/>
      <c r="D285" s="165"/>
      <c r="E285" s="165"/>
      <c r="H285" s="4"/>
      <c r="I285" s="4"/>
    </row>
    <row r="286" spans="3:9" ht="12.75" x14ac:dyDescent="0.2">
      <c r="C286" s="164"/>
      <c r="D286" s="165"/>
      <c r="E286" s="165"/>
      <c r="H286" s="4"/>
      <c r="I286" s="4"/>
    </row>
    <row r="287" spans="3:9" ht="12.75" x14ac:dyDescent="0.2">
      <c r="C287" s="164"/>
      <c r="D287" s="165"/>
      <c r="E287" s="165"/>
      <c r="H287" s="4"/>
      <c r="I287" s="4"/>
    </row>
    <row r="288" spans="3:9" ht="12.75" x14ac:dyDescent="0.2">
      <c r="C288" s="164"/>
      <c r="D288" s="165"/>
      <c r="E288" s="165"/>
      <c r="H288" s="4"/>
      <c r="I288" s="4"/>
    </row>
    <row r="289" spans="3:9" ht="12.75" x14ac:dyDescent="0.2">
      <c r="C289" s="164"/>
      <c r="D289" s="165"/>
      <c r="E289" s="165"/>
      <c r="H289" s="4"/>
      <c r="I289" s="4"/>
    </row>
    <row r="290" spans="3:9" ht="12.75" x14ac:dyDescent="0.2">
      <c r="C290" s="164"/>
      <c r="D290" s="165"/>
      <c r="E290" s="165"/>
      <c r="H290" s="4"/>
      <c r="I290" s="4"/>
    </row>
    <row r="291" spans="3:9" ht="12.75" x14ac:dyDescent="0.2">
      <c r="C291" s="164"/>
      <c r="D291" s="165"/>
      <c r="E291" s="165"/>
      <c r="H291" s="4"/>
      <c r="I291" s="4"/>
    </row>
    <row r="292" spans="3:9" ht="12.75" x14ac:dyDescent="0.2">
      <c r="C292" s="164"/>
      <c r="D292" s="165"/>
      <c r="E292" s="165"/>
      <c r="H292" s="4"/>
      <c r="I292" s="4"/>
    </row>
    <row r="293" spans="3:9" ht="12.75" x14ac:dyDescent="0.2">
      <c r="C293" s="164"/>
      <c r="D293" s="165"/>
      <c r="E293" s="165"/>
      <c r="H293" s="4"/>
      <c r="I293" s="4"/>
    </row>
    <row r="294" spans="3:9" ht="12.75" x14ac:dyDescent="0.2">
      <c r="C294" s="164"/>
      <c r="D294" s="165"/>
      <c r="E294" s="165"/>
      <c r="H294" s="4"/>
      <c r="I294" s="4"/>
    </row>
    <row r="295" spans="3:9" ht="12.75" x14ac:dyDescent="0.2">
      <c r="C295" s="164"/>
      <c r="D295" s="165"/>
      <c r="E295" s="165"/>
      <c r="H295" s="4"/>
      <c r="I295" s="4"/>
    </row>
    <row r="296" spans="3:9" ht="12.75" x14ac:dyDescent="0.2">
      <c r="C296" s="164"/>
      <c r="D296" s="165"/>
      <c r="E296" s="165"/>
      <c r="H296" s="4"/>
      <c r="I296" s="4"/>
    </row>
    <row r="297" spans="3:9" ht="12.75" x14ac:dyDescent="0.2">
      <c r="C297" s="164"/>
      <c r="D297" s="165"/>
      <c r="E297" s="165"/>
      <c r="H297" s="4"/>
      <c r="I297" s="4"/>
    </row>
    <row r="298" spans="3:9" ht="12.75" x14ac:dyDescent="0.2">
      <c r="C298" s="164"/>
      <c r="D298" s="165"/>
      <c r="E298" s="165"/>
      <c r="H298" s="4"/>
      <c r="I298" s="4"/>
    </row>
    <row r="299" spans="3:9" ht="12.75" x14ac:dyDescent="0.2">
      <c r="C299" s="164"/>
      <c r="D299" s="165"/>
      <c r="E299" s="165"/>
      <c r="H299" s="4"/>
      <c r="I299" s="4"/>
    </row>
  </sheetData>
  <hyperlinks>
    <hyperlink ref="H5" r:id="rId1" xr:uid="{00000000-0004-0000-0500-000007000000}"/>
    <hyperlink ref="H6" r:id="rId2" xr:uid="{00000000-0004-0000-0500-000008000000}"/>
    <hyperlink ref="H4" r:id="rId3" xr:uid="{A17AC9C4-91F5-48DA-A7B3-A2D2E5458D55}"/>
    <hyperlink ref="H3" r:id="rId4" xr:uid="{8F202B70-66DB-4BB9-BE55-ECA1EA762ACB}"/>
  </hyperlinks>
  <pageMargins left="0.7" right="0.7" top="0.78740157499999996" bottom="0.78740157499999996" header="0.3" footer="0.3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43"/>
  <sheetViews>
    <sheetView workbookViewId="0"/>
  </sheetViews>
  <sheetFormatPr baseColWidth="10" defaultColWidth="12.5703125" defaultRowHeight="15.75" customHeight="1" x14ac:dyDescent="0.2"/>
  <cols>
    <col min="11" max="11" width="19.28515625" customWidth="1"/>
    <col min="13" max="13" width="19.42578125" customWidth="1"/>
    <col min="15" max="15" width="19" customWidth="1"/>
    <col min="16" max="16" width="17.140625" customWidth="1"/>
  </cols>
  <sheetData>
    <row r="1" spans="1:31" ht="15.75" customHeight="1" x14ac:dyDescent="0.25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"/>
      <c r="N1" s="1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x14ac:dyDescent="0.2">
      <c r="A2" s="17" t="s">
        <v>163</v>
      </c>
      <c r="B2" s="18"/>
      <c r="C2" s="19"/>
      <c r="D2" s="20"/>
      <c r="G2" s="17" t="s">
        <v>164</v>
      </c>
      <c r="H2" s="18"/>
      <c r="I2" s="21"/>
      <c r="J2" s="22"/>
      <c r="K2" s="22"/>
      <c r="M2" s="23" t="s">
        <v>165</v>
      </c>
      <c r="N2" s="24"/>
      <c r="P2" s="25" t="s">
        <v>166</v>
      </c>
    </row>
    <row r="3" spans="1:31" ht="12.75" x14ac:dyDescent="0.2">
      <c r="A3" s="26" t="s">
        <v>167</v>
      </c>
      <c r="B3" s="27" t="s">
        <v>1</v>
      </c>
      <c r="C3" s="28" t="s">
        <v>168</v>
      </c>
      <c r="D3" s="29" t="s">
        <v>169</v>
      </c>
      <c r="G3" s="30" t="s">
        <v>170</v>
      </c>
      <c r="H3" s="31" t="s">
        <v>111</v>
      </c>
      <c r="I3" s="31" t="s">
        <v>171</v>
      </c>
      <c r="J3" s="32" t="s">
        <v>172</v>
      </c>
      <c r="K3" s="32" t="s">
        <v>173</v>
      </c>
      <c r="M3" s="33" t="s">
        <v>174</v>
      </c>
      <c r="N3" s="34" t="s">
        <v>1</v>
      </c>
      <c r="O3" s="3" t="s">
        <v>2</v>
      </c>
      <c r="P3" s="35" t="s">
        <v>175</v>
      </c>
      <c r="Q3" s="4" t="s">
        <v>176</v>
      </c>
    </row>
    <row r="4" spans="1:31" ht="38.25" x14ac:dyDescent="0.2">
      <c r="A4" s="36">
        <v>715</v>
      </c>
      <c r="B4" s="37">
        <v>6</v>
      </c>
      <c r="C4" s="38">
        <v>10.29</v>
      </c>
      <c r="D4" s="39">
        <f t="shared" ref="D4:D9" si="0">B4*C4</f>
        <v>61.739999999999995</v>
      </c>
      <c r="F4" s="4" t="s">
        <v>177</v>
      </c>
      <c r="G4" s="40" t="s">
        <v>87</v>
      </c>
      <c r="H4" s="41">
        <f>101+24+20</f>
        <v>145</v>
      </c>
      <c r="I4" s="42">
        <v>15</v>
      </c>
      <c r="J4" s="39">
        <f t="shared" ref="J4:J6" si="1">H4+I4</f>
        <v>160</v>
      </c>
      <c r="K4" s="39">
        <f>0.87*J4</f>
        <v>139.19999999999999</v>
      </c>
      <c r="M4" s="40" t="s">
        <v>178</v>
      </c>
      <c r="N4" s="41">
        <f>60+10</f>
        <v>70</v>
      </c>
      <c r="O4" s="4">
        <f>0.23*N4</f>
        <v>16.100000000000001</v>
      </c>
      <c r="P4" s="43" t="s">
        <v>179</v>
      </c>
      <c r="Q4" s="44"/>
    </row>
    <row r="5" spans="1:31" ht="30" x14ac:dyDescent="0.2">
      <c r="A5" s="36">
        <v>640</v>
      </c>
      <c r="B5" s="37">
        <v>8</v>
      </c>
      <c r="C5" s="38">
        <v>9.56</v>
      </c>
      <c r="D5" s="39">
        <f t="shared" si="0"/>
        <v>76.48</v>
      </c>
      <c r="F5" s="45" t="s">
        <v>180</v>
      </c>
      <c r="G5" s="46" t="s">
        <v>181</v>
      </c>
      <c r="H5" s="47">
        <v>195</v>
      </c>
      <c r="I5" s="48">
        <v>15</v>
      </c>
      <c r="J5" s="49">
        <f t="shared" si="1"/>
        <v>210</v>
      </c>
      <c r="K5" s="39">
        <f>0.49*J5</f>
        <v>102.89999999999999</v>
      </c>
      <c r="M5" s="40" t="s">
        <v>182</v>
      </c>
      <c r="N5" s="41">
        <f>30+5</f>
        <v>35</v>
      </c>
      <c r="O5" s="4">
        <f>2.81*N5</f>
        <v>98.350000000000009</v>
      </c>
      <c r="P5" s="43" t="s">
        <v>179</v>
      </c>
      <c r="Q5" s="44"/>
    </row>
    <row r="6" spans="1:31" ht="38.25" x14ac:dyDescent="0.2">
      <c r="A6" s="36">
        <v>1500</v>
      </c>
      <c r="B6" s="37">
        <v>4</v>
      </c>
      <c r="C6" s="38">
        <v>18.53</v>
      </c>
      <c r="D6" s="39">
        <f t="shared" si="0"/>
        <v>74.12</v>
      </c>
      <c r="F6" s="50" t="s">
        <v>183</v>
      </c>
      <c r="G6" s="51" t="s">
        <v>184</v>
      </c>
      <c r="H6" s="52">
        <v>152</v>
      </c>
      <c r="I6" s="53">
        <v>18</v>
      </c>
      <c r="J6" s="54">
        <f t="shared" si="1"/>
        <v>170</v>
      </c>
      <c r="K6" s="55">
        <f t="shared" ref="K6:K7" si="2">0.87*J6</f>
        <v>147.9</v>
      </c>
      <c r="M6" s="40" t="s">
        <v>185</v>
      </c>
      <c r="N6" s="41">
        <v>5</v>
      </c>
      <c r="O6" s="5">
        <f>5.32 *N6</f>
        <v>26.6</v>
      </c>
      <c r="P6" s="43" t="s">
        <v>186</v>
      </c>
      <c r="Q6" s="44">
        <f>12*3.23</f>
        <v>38.76</v>
      </c>
    </row>
    <row r="7" spans="1:31" ht="38.25" x14ac:dyDescent="0.2">
      <c r="A7" s="36">
        <v>1127</v>
      </c>
      <c r="B7" s="37">
        <v>2</v>
      </c>
      <c r="C7" s="38">
        <v>14.56</v>
      </c>
      <c r="D7" s="39">
        <f t="shared" si="0"/>
        <v>29.12</v>
      </c>
      <c r="F7" s="5" t="s">
        <v>187</v>
      </c>
      <c r="G7" s="56" t="s">
        <v>188</v>
      </c>
      <c r="H7" s="57" t="s">
        <v>189</v>
      </c>
      <c r="I7" s="42">
        <v>2</v>
      </c>
      <c r="J7" s="39">
        <v>6</v>
      </c>
      <c r="K7" s="39">
        <f t="shared" si="2"/>
        <v>5.22</v>
      </c>
      <c r="M7" s="40" t="s">
        <v>190</v>
      </c>
      <c r="N7" s="41">
        <v>3</v>
      </c>
      <c r="O7" s="5">
        <f>10.44 *N7</f>
        <v>31.32</v>
      </c>
      <c r="P7" s="43" t="s">
        <v>191</v>
      </c>
      <c r="Q7" s="44">
        <f>20*4.94</f>
        <v>98.800000000000011</v>
      </c>
    </row>
    <row r="8" spans="1:31" ht="25.5" x14ac:dyDescent="0.2">
      <c r="A8" s="36">
        <v>1087</v>
      </c>
      <c r="B8" s="37">
        <v>1</v>
      </c>
      <c r="C8" s="38">
        <v>14.14</v>
      </c>
      <c r="D8" s="39">
        <f t="shared" si="0"/>
        <v>14.14</v>
      </c>
      <c r="F8" s="4" t="s">
        <v>192</v>
      </c>
      <c r="G8" s="58" t="s">
        <v>193</v>
      </c>
      <c r="H8" s="57" t="s">
        <v>194</v>
      </c>
      <c r="I8" s="42" t="s">
        <v>179</v>
      </c>
      <c r="J8" s="39">
        <v>4</v>
      </c>
      <c r="K8" s="39">
        <f>0.44*J8</f>
        <v>1.76</v>
      </c>
      <c r="M8" s="40" t="s">
        <v>195</v>
      </c>
      <c r="N8" s="41">
        <v>2</v>
      </c>
      <c r="O8" s="5">
        <f>14.54 *N8</f>
        <v>29.08</v>
      </c>
      <c r="P8" s="43" t="s">
        <v>196</v>
      </c>
      <c r="Q8" s="44">
        <f>8*8.75</f>
        <v>70</v>
      </c>
    </row>
    <row r="9" spans="1:31" ht="25.5" x14ac:dyDescent="0.2">
      <c r="A9" s="36">
        <v>622</v>
      </c>
      <c r="B9" s="37">
        <v>1</v>
      </c>
      <c r="C9" s="38">
        <v>9.35</v>
      </c>
      <c r="D9" s="39">
        <f t="shared" si="0"/>
        <v>9.35</v>
      </c>
      <c r="E9" s="5" t="s">
        <v>197</v>
      </c>
      <c r="G9" s="58" t="s">
        <v>198</v>
      </c>
      <c r="H9" s="57" t="s">
        <v>194</v>
      </c>
      <c r="I9" s="42" t="s">
        <v>179</v>
      </c>
      <c r="J9" s="39">
        <v>2</v>
      </c>
      <c r="K9" s="39">
        <f>1.37*J9</f>
        <v>2.74</v>
      </c>
      <c r="M9" s="59"/>
      <c r="N9" s="41"/>
      <c r="P9" s="43"/>
      <c r="Q9" s="60">
        <f>SUM(Q4:Q8)</f>
        <v>207.56</v>
      </c>
    </row>
    <row r="10" spans="1:31" ht="12.75" x14ac:dyDescent="0.2">
      <c r="A10" s="61"/>
      <c r="B10" s="37"/>
      <c r="C10" s="38"/>
      <c r="D10" s="39"/>
      <c r="G10" s="62"/>
      <c r="H10" s="57"/>
      <c r="I10" s="42"/>
      <c r="J10" s="39"/>
      <c r="K10" s="39"/>
      <c r="M10" s="59"/>
      <c r="N10" s="41"/>
      <c r="P10" s="43"/>
      <c r="Q10" s="44"/>
    </row>
    <row r="11" spans="1:31" ht="12.75" x14ac:dyDescent="0.2">
      <c r="A11" s="61"/>
      <c r="B11" s="37"/>
      <c r="C11" s="38"/>
      <c r="D11" s="39"/>
      <c r="G11" s="62"/>
      <c r="H11" s="57"/>
      <c r="I11" s="42"/>
      <c r="J11" s="39"/>
      <c r="K11" s="39"/>
      <c r="M11" s="59"/>
      <c r="N11" s="41"/>
      <c r="P11" s="43"/>
      <c r="Q11" s="44"/>
    </row>
    <row r="12" spans="1:31" ht="12.75" x14ac:dyDescent="0.2">
      <c r="A12" s="61"/>
      <c r="B12" s="37"/>
      <c r="C12" s="38"/>
      <c r="D12" s="39"/>
      <c r="G12" s="62"/>
      <c r="H12" s="57"/>
      <c r="I12" s="42"/>
      <c r="J12" s="39"/>
      <c r="K12" s="39"/>
      <c r="M12" s="59"/>
      <c r="N12" s="41"/>
      <c r="P12" s="43"/>
      <c r="Q12" s="44"/>
    </row>
    <row r="13" spans="1:31" ht="12.75" x14ac:dyDescent="0.2">
      <c r="A13" s="61"/>
      <c r="B13" s="37"/>
      <c r="C13" s="38"/>
      <c r="D13" s="39"/>
      <c r="G13" s="62"/>
      <c r="H13" s="57"/>
      <c r="I13" s="42"/>
      <c r="J13" s="39"/>
      <c r="K13" s="39"/>
      <c r="M13" s="59"/>
      <c r="N13" s="41"/>
      <c r="P13" s="43"/>
      <c r="Q13" s="44"/>
    </row>
    <row r="14" spans="1:31" ht="12.75" x14ac:dyDescent="0.2">
      <c r="A14" s="61"/>
      <c r="B14" s="37"/>
      <c r="C14" s="38"/>
      <c r="D14" s="39"/>
      <c r="G14" s="62"/>
      <c r="H14" s="57"/>
      <c r="I14" s="42"/>
      <c r="J14" s="39"/>
      <c r="K14" s="39"/>
      <c r="M14" s="59"/>
      <c r="N14" s="41"/>
      <c r="P14" s="43"/>
      <c r="Q14" s="44"/>
    </row>
    <row r="15" spans="1:31" ht="12.75" x14ac:dyDescent="0.2">
      <c r="A15" s="61"/>
      <c r="B15" s="37"/>
      <c r="C15" s="38"/>
      <c r="D15" s="39"/>
      <c r="G15" s="62"/>
      <c r="H15" s="57"/>
      <c r="I15" s="42"/>
      <c r="J15" s="39"/>
      <c r="K15" s="39"/>
      <c r="M15" s="59"/>
      <c r="N15" s="41"/>
      <c r="P15" s="43"/>
      <c r="Q15" s="44"/>
    </row>
    <row r="16" spans="1:31" ht="12.75" x14ac:dyDescent="0.2">
      <c r="A16" s="61"/>
      <c r="B16" s="37"/>
      <c r="C16" s="38"/>
      <c r="D16" s="39"/>
      <c r="G16" s="62"/>
      <c r="H16" s="57"/>
      <c r="I16" s="42"/>
      <c r="J16" s="39"/>
      <c r="K16" s="39"/>
      <c r="M16" s="59"/>
      <c r="N16" s="41"/>
      <c r="P16" s="43"/>
      <c r="Q16" s="44"/>
    </row>
    <row r="17" spans="1:31" ht="12.75" x14ac:dyDescent="0.2">
      <c r="A17" s="63"/>
      <c r="B17" s="64"/>
      <c r="C17" s="65" t="s">
        <v>14</v>
      </c>
      <c r="D17" s="66">
        <f>SUM(D4:D16)</f>
        <v>264.95000000000005</v>
      </c>
      <c r="G17" s="67"/>
      <c r="H17" s="68"/>
      <c r="I17" s="69"/>
      <c r="J17" s="70"/>
      <c r="K17" s="70"/>
      <c r="M17" s="71"/>
      <c r="N17" s="72"/>
      <c r="O17" s="73"/>
      <c r="P17" s="74"/>
      <c r="Q17" s="75"/>
    </row>
    <row r="18" spans="1:31" ht="12.75" x14ac:dyDescent="0.2">
      <c r="B18" s="4" t="s">
        <v>199</v>
      </c>
      <c r="C18" s="4"/>
      <c r="D18" s="4"/>
      <c r="H18" s="4" t="s">
        <v>200</v>
      </c>
      <c r="M18" s="5"/>
      <c r="N18" s="5"/>
    </row>
    <row r="19" spans="1:31" ht="12.75" x14ac:dyDescent="0.2">
      <c r="M19" s="5"/>
      <c r="N19" s="5"/>
    </row>
    <row r="25" spans="1:31" ht="15.75" customHeight="1" x14ac:dyDescent="0.25">
      <c r="A25" s="1" t="s">
        <v>201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6"/>
      <c r="N25" s="1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x14ac:dyDescent="0.2">
      <c r="A26" s="76" t="s">
        <v>163</v>
      </c>
      <c r="B26" s="77"/>
      <c r="C26" s="78"/>
      <c r="D26" s="79"/>
      <c r="G26" s="76" t="s">
        <v>164</v>
      </c>
      <c r="H26" s="77"/>
      <c r="I26" s="80"/>
      <c r="J26" s="81"/>
      <c r="K26" s="81"/>
      <c r="M26" s="82" t="s">
        <v>165</v>
      </c>
      <c r="N26" s="83"/>
      <c r="O26" s="81"/>
    </row>
    <row r="27" spans="1:31" ht="12.75" x14ac:dyDescent="0.2">
      <c r="A27" s="26" t="s">
        <v>167</v>
      </c>
      <c r="B27" s="27" t="s">
        <v>1</v>
      </c>
      <c r="C27" s="28" t="s">
        <v>168</v>
      </c>
      <c r="D27" s="29" t="s">
        <v>169</v>
      </c>
      <c r="G27" s="30" t="s">
        <v>170</v>
      </c>
      <c r="H27" s="31" t="s">
        <v>111</v>
      </c>
      <c r="I27" s="31" t="s">
        <v>171</v>
      </c>
      <c r="J27" s="32" t="s">
        <v>172</v>
      </c>
      <c r="K27" s="32" t="s">
        <v>202</v>
      </c>
      <c r="M27" s="33" t="s">
        <v>174</v>
      </c>
      <c r="N27" s="34" t="s">
        <v>1</v>
      </c>
      <c r="O27" s="32" t="s">
        <v>202</v>
      </c>
    </row>
    <row r="28" spans="1:31" ht="38.25" x14ac:dyDescent="0.2">
      <c r="A28" s="36">
        <v>715</v>
      </c>
      <c r="B28" s="37">
        <v>1</v>
      </c>
      <c r="C28" s="38">
        <v>10.29</v>
      </c>
      <c r="D28" s="84">
        <f t="shared" ref="D28:D33" si="3">B28*C28</f>
        <v>10.29</v>
      </c>
      <c r="G28" s="40" t="s">
        <v>87</v>
      </c>
      <c r="H28" s="41">
        <f>101+24+20</f>
        <v>145</v>
      </c>
      <c r="I28" s="42" t="s">
        <v>179</v>
      </c>
      <c r="J28" s="39">
        <v>25</v>
      </c>
      <c r="K28" s="84">
        <f>0.87*J28</f>
        <v>21.75</v>
      </c>
      <c r="M28" s="40" t="s">
        <v>178</v>
      </c>
      <c r="N28" s="41">
        <f>60+10</f>
        <v>70</v>
      </c>
      <c r="O28" s="85">
        <f>0.23*N28</f>
        <v>16.100000000000001</v>
      </c>
    </row>
    <row r="29" spans="1:31" ht="25.5" x14ac:dyDescent="0.2">
      <c r="A29" s="36">
        <v>640</v>
      </c>
      <c r="B29" s="37">
        <v>1</v>
      </c>
      <c r="C29" s="38">
        <v>9.56</v>
      </c>
      <c r="D29" s="84">
        <f t="shared" si="3"/>
        <v>9.56</v>
      </c>
      <c r="G29" s="40" t="s">
        <v>181</v>
      </c>
      <c r="H29" s="86">
        <v>195</v>
      </c>
      <c r="I29" s="42" t="s">
        <v>179</v>
      </c>
      <c r="J29" s="39">
        <v>20</v>
      </c>
      <c r="K29" s="84">
        <f>0.49*J29</f>
        <v>9.8000000000000007</v>
      </c>
      <c r="M29" s="40" t="s">
        <v>182</v>
      </c>
      <c r="N29" s="41">
        <f>30+5</f>
        <v>35</v>
      </c>
      <c r="O29" s="85">
        <f>2.81*N29</f>
        <v>98.350000000000009</v>
      </c>
    </row>
    <row r="30" spans="1:31" ht="38.25" x14ac:dyDescent="0.2">
      <c r="A30" s="36">
        <v>1500</v>
      </c>
      <c r="B30" s="37">
        <v>1</v>
      </c>
      <c r="C30" s="38">
        <v>18.53</v>
      </c>
      <c r="D30" s="84">
        <f t="shared" si="3"/>
        <v>18.53</v>
      </c>
      <c r="G30" s="56" t="s">
        <v>188</v>
      </c>
      <c r="H30" s="86" t="s">
        <v>189</v>
      </c>
      <c r="I30" s="42">
        <v>2</v>
      </c>
      <c r="J30" s="39">
        <v>6</v>
      </c>
      <c r="K30" s="84">
        <f>0.87*J30</f>
        <v>5.22</v>
      </c>
      <c r="M30" s="40" t="s">
        <v>185</v>
      </c>
      <c r="N30" s="41">
        <v>5</v>
      </c>
      <c r="O30" s="87">
        <f>5.32 *N30</f>
        <v>26.6</v>
      </c>
    </row>
    <row r="31" spans="1:31" ht="25.5" x14ac:dyDescent="0.2">
      <c r="A31" s="36">
        <v>1127</v>
      </c>
      <c r="B31" s="37">
        <v>0</v>
      </c>
      <c r="C31" s="38">
        <v>14.56</v>
      </c>
      <c r="D31" s="84">
        <f t="shared" si="3"/>
        <v>0</v>
      </c>
      <c r="G31" s="58" t="s">
        <v>193</v>
      </c>
      <c r="H31" s="86" t="s">
        <v>194</v>
      </c>
      <c r="I31" s="42" t="s">
        <v>179</v>
      </c>
      <c r="J31" s="39">
        <v>4</v>
      </c>
      <c r="K31" s="84">
        <f>0.44*J31</f>
        <v>1.76</v>
      </c>
      <c r="M31" s="40" t="s">
        <v>190</v>
      </c>
      <c r="N31" s="41">
        <v>3</v>
      </c>
      <c r="O31" s="87">
        <f>10.44 *N31</f>
        <v>31.32</v>
      </c>
    </row>
    <row r="32" spans="1:31" ht="25.5" x14ac:dyDescent="0.2">
      <c r="A32" s="36">
        <v>1087</v>
      </c>
      <c r="B32" s="37">
        <v>0</v>
      </c>
      <c r="C32" s="38">
        <v>14.14</v>
      </c>
      <c r="D32" s="84">
        <f t="shared" si="3"/>
        <v>0</v>
      </c>
      <c r="G32" s="58" t="s">
        <v>198</v>
      </c>
      <c r="H32" s="86" t="s">
        <v>194</v>
      </c>
      <c r="I32" s="42" t="s">
        <v>179</v>
      </c>
      <c r="J32" s="39">
        <v>2</v>
      </c>
      <c r="K32" s="84">
        <f>1.37*J32</f>
        <v>2.74</v>
      </c>
      <c r="M32" s="40" t="s">
        <v>195</v>
      </c>
      <c r="N32" s="41">
        <v>2</v>
      </c>
      <c r="O32" s="87">
        <f>14.54 *N32</f>
        <v>29.08</v>
      </c>
    </row>
    <row r="33" spans="1:15" ht="25.5" x14ac:dyDescent="0.2">
      <c r="A33" s="36">
        <v>622</v>
      </c>
      <c r="B33" s="37">
        <v>0</v>
      </c>
      <c r="C33" s="38">
        <v>9.35</v>
      </c>
      <c r="D33" s="84">
        <f t="shared" si="3"/>
        <v>0</v>
      </c>
      <c r="G33" s="62"/>
      <c r="H33" s="86"/>
      <c r="I33" s="42"/>
      <c r="J33" s="39"/>
      <c r="K33" s="84"/>
      <c r="M33" s="40" t="s">
        <v>203</v>
      </c>
      <c r="N33" s="41">
        <v>25</v>
      </c>
      <c r="O33" s="84">
        <f>0.13*N33</f>
        <v>3.25</v>
      </c>
    </row>
    <row r="34" spans="1:15" ht="25.5" x14ac:dyDescent="0.2">
      <c r="A34" s="61"/>
      <c r="B34" s="37"/>
      <c r="C34" s="38"/>
      <c r="D34" s="84"/>
      <c r="G34" s="62"/>
      <c r="H34" s="86"/>
      <c r="I34" s="42"/>
      <c r="J34" s="39"/>
      <c r="K34" s="84"/>
      <c r="M34" s="40" t="s">
        <v>204</v>
      </c>
      <c r="N34" s="41">
        <v>10</v>
      </c>
      <c r="O34" s="84">
        <f>0.15*N34</f>
        <v>1.5</v>
      </c>
    </row>
    <row r="35" spans="1:15" ht="25.5" x14ac:dyDescent="0.2">
      <c r="A35" s="61"/>
      <c r="B35" s="37"/>
      <c r="C35" s="38"/>
      <c r="D35" s="84"/>
      <c r="G35" s="62"/>
      <c r="H35" s="86"/>
      <c r="I35" s="42"/>
      <c r="J35" s="39"/>
      <c r="K35" s="84"/>
      <c r="M35" s="40" t="s">
        <v>205</v>
      </c>
      <c r="N35" s="41">
        <v>12</v>
      </c>
      <c r="O35" s="84">
        <f>0.18*N35</f>
        <v>2.16</v>
      </c>
    </row>
    <row r="36" spans="1:15" ht="25.5" x14ac:dyDescent="0.2">
      <c r="A36" s="61"/>
      <c r="B36" s="37"/>
      <c r="C36" s="38"/>
      <c r="D36" s="84"/>
      <c r="G36" s="62"/>
      <c r="H36" s="86"/>
      <c r="I36" s="42"/>
      <c r="J36" s="39"/>
      <c r="K36" s="84"/>
      <c r="M36" s="40" t="s">
        <v>206</v>
      </c>
      <c r="N36" s="41">
        <v>10</v>
      </c>
      <c r="O36" s="84">
        <f>0.19*N36</f>
        <v>1.9</v>
      </c>
    </row>
    <row r="37" spans="1:15" ht="25.5" x14ac:dyDescent="0.2">
      <c r="A37" s="61"/>
      <c r="B37" s="37"/>
      <c r="C37" s="38"/>
      <c r="D37" s="84"/>
      <c r="G37" s="62"/>
      <c r="H37" s="86"/>
      <c r="I37" s="42"/>
      <c r="J37" s="39"/>
      <c r="K37" s="84"/>
      <c r="M37" s="40" t="s">
        <v>207</v>
      </c>
      <c r="N37" s="41">
        <v>12</v>
      </c>
      <c r="O37" s="84">
        <f>0.14*N37</f>
        <v>1.6800000000000002</v>
      </c>
    </row>
    <row r="38" spans="1:15" ht="25.5" x14ac:dyDescent="0.2">
      <c r="A38" s="61"/>
      <c r="B38" s="37"/>
      <c r="C38" s="38"/>
      <c r="D38" s="84"/>
      <c r="G38" s="62"/>
      <c r="H38" s="86"/>
      <c r="I38" s="42"/>
      <c r="J38" s="39"/>
      <c r="K38" s="84"/>
      <c r="M38" s="40" t="s">
        <v>208</v>
      </c>
      <c r="N38" s="41">
        <v>12</v>
      </c>
      <c r="O38" s="84">
        <f>0.19*N38</f>
        <v>2.2800000000000002</v>
      </c>
    </row>
    <row r="39" spans="1:15" ht="12.75" x14ac:dyDescent="0.2">
      <c r="A39" s="61"/>
      <c r="B39" s="37"/>
      <c r="C39" s="38"/>
      <c r="D39" s="84"/>
      <c r="G39" s="62"/>
      <c r="H39" s="86"/>
      <c r="I39" s="42"/>
      <c r="J39" s="39"/>
      <c r="K39" s="84"/>
      <c r="M39" s="59"/>
      <c r="N39" s="41"/>
      <c r="O39" s="84"/>
    </row>
    <row r="40" spans="1:15" ht="12.75" x14ac:dyDescent="0.2">
      <c r="A40" s="61"/>
      <c r="B40" s="37"/>
      <c r="C40" s="38"/>
      <c r="D40" s="84"/>
      <c r="G40" s="62"/>
      <c r="H40" s="86"/>
      <c r="I40" s="42"/>
      <c r="J40" s="39"/>
      <c r="K40" s="84"/>
      <c r="M40" s="59"/>
      <c r="N40" s="41"/>
      <c r="O40" s="39"/>
    </row>
    <row r="41" spans="1:15" ht="12.75" x14ac:dyDescent="0.2">
      <c r="A41" s="63"/>
      <c r="B41" s="64"/>
      <c r="C41" s="65" t="s">
        <v>14</v>
      </c>
      <c r="D41" s="88">
        <f>SUM(D28:D40)</f>
        <v>38.380000000000003</v>
      </c>
      <c r="G41" s="89"/>
      <c r="H41" s="90"/>
      <c r="I41" s="91"/>
      <c r="J41" s="66" t="s">
        <v>209</v>
      </c>
      <c r="K41" s="88">
        <f>SUM(K28:K40)</f>
        <v>41.27</v>
      </c>
      <c r="M41" s="92"/>
      <c r="N41" s="93" t="s">
        <v>14</v>
      </c>
      <c r="O41" s="88">
        <f>SUM(O28:O40)</f>
        <v>214.22</v>
      </c>
    </row>
    <row r="43" spans="1:15" ht="12.75" x14ac:dyDescent="0.2">
      <c r="A43" s="94" t="s">
        <v>210</v>
      </c>
      <c r="B43" s="95"/>
      <c r="C43" s="96">
        <f>SUM(D41,K41,O41)</f>
        <v>293.87</v>
      </c>
    </row>
  </sheetData>
  <hyperlinks>
    <hyperlink ref="A4" r:id="rId1" display="https://www.item24.com/de-de/profil-kh-8-40x40-anthrazit-64161?length=715&amp;category=profiltechnik" xr:uid="{00000000-0004-0000-0600-000000000000}"/>
    <hyperlink ref="G4" r:id="rId2" xr:uid="{00000000-0004-0000-0600-000001000000}"/>
    <hyperlink ref="M4" r:id="rId3" xr:uid="{00000000-0004-0000-0600-000002000000}"/>
    <hyperlink ref="A5" r:id="rId4" display="https://www.item24.com/de-de/profil-kh-8-40x40-anthrazit-64161?length=640&amp;category=profiltechnik" xr:uid="{00000000-0004-0000-0600-000003000000}"/>
    <hyperlink ref="G5" r:id="rId5" xr:uid="{00000000-0004-0000-0600-000004000000}"/>
    <hyperlink ref="M5" r:id="rId6" xr:uid="{00000000-0004-0000-0600-000005000000}"/>
    <hyperlink ref="A6" r:id="rId7" display="https://www.item24.com/de-de/profil-kh-8-40x40-anthrazit-64161?length=1500&amp;category=profiltechnik" xr:uid="{00000000-0004-0000-0600-000006000000}"/>
    <hyperlink ref="M6" r:id="rId8" xr:uid="{00000000-0004-0000-0600-000007000000}"/>
    <hyperlink ref="A7" r:id="rId9" display="https://www.item24.com/de-de/profil-kh-8-40x40-anthrazit-64161?length=1127&amp;category=profiltechnik" xr:uid="{00000000-0004-0000-0600-000008000000}"/>
    <hyperlink ref="G7" r:id="rId10" location="technical-data" xr:uid="{00000000-0004-0000-0600-000009000000}"/>
    <hyperlink ref="M7" r:id="rId11" location="technical-data" xr:uid="{00000000-0004-0000-0600-00000A000000}"/>
    <hyperlink ref="A8" r:id="rId12" display="https://www.item24.com/de-de/profil-kh-8-40x40-anthrazit-64161?length=1087&amp;category=profiltechnik" xr:uid="{00000000-0004-0000-0600-00000B000000}"/>
    <hyperlink ref="G8" r:id="rId13" location="technical-data" xr:uid="{00000000-0004-0000-0600-00000C000000}"/>
    <hyperlink ref="M8" r:id="rId14" xr:uid="{00000000-0004-0000-0600-00000D000000}"/>
    <hyperlink ref="A9" r:id="rId15" display="https://www.item24.com/de-de/profil-kh-8-40x40-anthrazit-64161?length=622&amp;category=profiltechnik" xr:uid="{00000000-0004-0000-0600-00000E000000}"/>
    <hyperlink ref="G9" r:id="rId16" location="technical-data" xr:uid="{00000000-0004-0000-0600-00000F000000}"/>
    <hyperlink ref="A28" r:id="rId17" display="https://www.item24.com/de-de/profil-kh-8-40x40-anthrazit-64161?length=715&amp;category=profiltechnik" xr:uid="{00000000-0004-0000-0600-000010000000}"/>
    <hyperlink ref="G28" r:id="rId18" xr:uid="{00000000-0004-0000-0600-000011000000}"/>
    <hyperlink ref="M28" r:id="rId19" xr:uid="{00000000-0004-0000-0600-000012000000}"/>
    <hyperlink ref="A29" r:id="rId20" display="https://www.item24.com/de-de/profil-kh-8-40x40-anthrazit-64161?length=640&amp;category=profiltechnik" xr:uid="{00000000-0004-0000-0600-000013000000}"/>
    <hyperlink ref="G29" r:id="rId21" xr:uid="{00000000-0004-0000-0600-000014000000}"/>
    <hyperlink ref="M29" r:id="rId22" xr:uid="{00000000-0004-0000-0600-000015000000}"/>
    <hyperlink ref="A30" r:id="rId23" display="https://www.item24.com/de-de/profil-kh-8-40x40-anthrazit-64161?length=1500&amp;category=profiltechnik" xr:uid="{00000000-0004-0000-0600-000016000000}"/>
    <hyperlink ref="G30" r:id="rId24" location="technical-data" xr:uid="{00000000-0004-0000-0600-000017000000}"/>
    <hyperlink ref="M30" r:id="rId25" xr:uid="{00000000-0004-0000-0600-000018000000}"/>
    <hyperlink ref="A31" r:id="rId26" display="https://www.item24.com/de-de/profil-kh-8-40x40-anthrazit-64161?length=1127&amp;category=profiltechnik" xr:uid="{00000000-0004-0000-0600-000019000000}"/>
    <hyperlink ref="G31" r:id="rId27" location="technical-data" xr:uid="{00000000-0004-0000-0600-00001A000000}"/>
    <hyperlink ref="M31" r:id="rId28" location="technical-data" xr:uid="{00000000-0004-0000-0600-00001B000000}"/>
    <hyperlink ref="A32" r:id="rId29" display="https://www.item24.com/de-de/profil-kh-8-40x40-anthrazit-64161?length=1087&amp;category=profiltechnik" xr:uid="{00000000-0004-0000-0600-00001C000000}"/>
    <hyperlink ref="G32" r:id="rId30" location="technical-data" xr:uid="{00000000-0004-0000-0600-00001D000000}"/>
    <hyperlink ref="M32" r:id="rId31" xr:uid="{00000000-0004-0000-0600-00001E000000}"/>
    <hyperlink ref="A33" r:id="rId32" display="https://www.item24.com/de-de/profil-kh-8-40x40-anthrazit-64161?length=622&amp;category=profiltechnik" xr:uid="{00000000-0004-0000-0600-00001F000000}"/>
    <hyperlink ref="M33" r:id="rId33" xr:uid="{00000000-0004-0000-0600-000020000000}"/>
    <hyperlink ref="M34" r:id="rId34" location="technical-data" xr:uid="{00000000-0004-0000-0600-000021000000}"/>
    <hyperlink ref="M35" r:id="rId35" location="technical-data" xr:uid="{00000000-0004-0000-0600-000022000000}"/>
    <hyperlink ref="M36" r:id="rId36" location="technical-data" xr:uid="{00000000-0004-0000-0600-000023000000}"/>
    <hyperlink ref="M37" r:id="rId37" location="technical-data" xr:uid="{00000000-0004-0000-0600-000024000000}"/>
    <hyperlink ref="M38" r:id="rId38" location="technical-data" xr:uid="{00000000-0004-0000-0600-000025000000}"/>
  </hyperlinks>
  <pageMargins left="0.7" right="0.7" top="0.78740157499999996" bottom="0.78740157499999996" header="0.3" footer="0.3"/>
  <legacyDrawing r:id="rId3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14"/>
  <sheetViews>
    <sheetView workbookViewId="0"/>
  </sheetViews>
  <sheetFormatPr baseColWidth="10" defaultColWidth="12.5703125" defaultRowHeight="15.75" customHeight="1" x14ac:dyDescent="0.2"/>
  <cols>
    <col min="6" max="6" width="19.140625" customWidth="1"/>
  </cols>
  <sheetData>
    <row r="1" spans="1:28" ht="15.75" customHeight="1" x14ac:dyDescent="0.25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3" spans="1:28" ht="12.75" x14ac:dyDescent="0.2">
      <c r="G3" s="97" t="s">
        <v>1</v>
      </c>
      <c r="H3" s="98" t="s">
        <v>212</v>
      </c>
      <c r="I3" s="99"/>
      <c r="J3" s="99"/>
      <c r="K3" s="99"/>
      <c r="L3" s="99"/>
      <c r="M3" s="99"/>
      <c r="N3" s="99"/>
      <c r="O3" s="100"/>
      <c r="P3" s="4" t="s">
        <v>213</v>
      </c>
    </row>
    <row r="4" spans="1:28" ht="12.75" x14ac:dyDescent="0.2">
      <c r="G4" s="101">
        <v>1</v>
      </c>
      <c r="H4" s="102" t="s">
        <v>214</v>
      </c>
      <c r="I4" s="102"/>
      <c r="J4" s="102"/>
      <c r="K4" s="102"/>
      <c r="L4" s="102"/>
      <c r="M4" s="102"/>
      <c r="N4" s="102"/>
      <c r="O4" s="103"/>
    </row>
    <row r="5" spans="1:28" ht="12.75" x14ac:dyDescent="0.2">
      <c r="G5" s="104">
        <v>2</v>
      </c>
      <c r="H5" s="105" t="s">
        <v>215</v>
      </c>
      <c r="I5" s="105"/>
      <c r="J5" s="105"/>
      <c r="K5" s="105"/>
      <c r="L5" s="105"/>
      <c r="M5" s="105"/>
      <c r="N5" s="105"/>
      <c r="O5" s="106"/>
    </row>
    <row r="6" spans="1:28" ht="12.75" x14ac:dyDescent="0.2">
      <c r="G6" s="104">
        <v>2</v>
      </c>
      <c r="H6" s="105" t="s">
        <v>216</v>
      </c>
      <c r="I6" s="105"/>
      <c r="J6" s="105"/>
      <c r="K6" s="105"/>
      <c r="L6" s="105"/>
      <c r="M6" s="105"/>
      <c r="N6" s="105"/>
      <c r="O6" s="106"/>
    </row>
    <row r="7" spans="1:28" ht="12.75" x14ac:dyDescent="0.2">
      <c r="G7" s="104">
        <v>1</v>
      </c>
      <c r="H7" s="105" t="s">
        <v>28</v>
      </c>
      <c r="I7" s="105"/>
      <c r="J7" s="105"/>
      <c r="K7" s="105"/>
      <c r="L7" s="105"/>
      <c r="M7" s="105"/>
      <c r="N7" s="105"/>
      <c r="O7" s="106"/>
    </row>
    <row r="8" spans="1:28" ht="12.75" x14ac:dyDescent="0.2">
      <c r="G8" s="104">
        <v>1</v>
      </c>
      <c r="H8" s="105" t="s">
        <v>217</v>
      </c>
      <c r="I8" s="105"/>
      <c r="J8" s="105"/>
      <c r="K8" s="105"/>
      <c r="L8" s="105"/>
      <c r="M8" s="105"/>
      <c r="N8" s="105"/>
      <c r="O8" s="106"/>
    </row>
    <row r="9" spans="1:28" ht="12.75" x14ac:dyDescent="0.2">
      <c r="G9" s="104">
        <v>3</v>
      </c>
      <c r="H9" s="105" t="s">
        <v>218</v>
      </c>
      <c r="I9" s="105"/>
      <c r="J9" s="105"/>
      <c r="K9" s="105"/>
      <c r="L9" s="105"/>
      <c r="M9" s="105"/>
      <c r="N9" s="105"/>
      <c r="O9" s="106"/>
    </row>
    <row r="10" spans="1:28" ht="12.75" x14ac:dyDescent="0.2">
      <c r="G10" s="104">
        <v>2</v>
      </c>
      <c r="H10" s="105" t="s">
        <v>219</v>
      </c>
      <c r="I10" s="105"/>
      <c r="J10" s="105"/>
      <c r="K10" s="105"/>
      <c r="L10" s="105"/>
      <c r="M10" s="105"/>
      <c r="N10" s="105"/>
      <c r="O10" s="106"/>
    </row>
    <row r="11" spans="1:28" ht="12.75" x14ac:dyDescent="0.2">
      <c r="G11" s="104">
        <v>1</v>
      </c>
      <c r="H11" s="105" t="s">
        <v>220</v>
      </c>
      <c r="I11" s="105"/>
      <c r="J11" s="105"/>
      <c r="K11" s="105"/>
      <c r="L11" s="105"/>
      <c r="M11" s="105"/>
      <c r="N11" s="105"/>
      <c r="O11" s="106"/>
    </row>
    <row r="12" spans="1:28" ht="12.75" x14ac:dyDescent="0.2">
      <c r="G12" s="104">
        <v>1</v>
      </c>
      <c r="H12" s="105" t="s">
        <v>221</v>
      </c>
      <c r="I12" s="105"/>
      <c r="J12" s="105"/>
      <c r="K12" s="105"/>
      <c r="L12" s="105"/>
      <c r="M12" s="105"/>
      <c r="N12" s="105"/>
      <c r="O12" s="106"/>
    </row>
    <row r="13" spans="1:28" ht="12.75" x14ac:dyDescent="0.2">
      <c r="G13" s="104">
        <v>1</v>
      </c>
      <c r="H13" s="105" t="s">
        <v>222</v>
      </c>
      <c r="I13" s="105"/>
      <c r="J13" s="105"/>
      <c r="K13" s="105"/>
      <c r="L13" s="105"/>
      <c r="M13" s="105"/>
      <c r="N13" s="105"/>
      <c r="O13" s="106"/>
    </row>
    <row r="14" spans="1:28" ht="12.75" x14ac:dyDescent="0.2">
      <c r="G14" s="104">
        <v>1</v>
      </c>
      <c r="H14" s="105" t="s">
        <v>24</v>
      </c>
      <c r="I14" s="105"/>
      <c r="J14" s="105"/>
      <c r="K14" s="105"/>
      <c r="L14" s="105"/>
      <c r="M14" s="105"/>
      <c r="N14" s="105"/>
      <c r="O14" s="106"/>
    </row>
    <row r="15" spans="1:28" ht="12.75" x14ac:dyDescent="0.2">
      <c r="G15" s="104">
        <v>8</v>
      </c>
      <c r="H15" s="105" t="s">
        <v>223</v>
      </c>
      <c r="I15" s="105"/>
      <c r="J15" s="105"/>
      <c r="K15" s="105"/>
      <c r="L15" s="105"/>
      <c r="M15" s="105"/>
      <c r="N15" s="105"/>
      <c r="O15" s="106"/>
    </row>
    <row r="16" spans="1:28" ht="12.75" x14ac:dyDescent="0.2">
      <c r="G16" s="104">
        <v>1</v>
      </c>
      <c r="H16" s="105" t="s">
        <v>38</v>
      </c>
      <c r="I16" s="105"/>
      <c r="J16" s="105"/>
      <c r="K16" s="105"/>
      <c r="L16" s="105"/>
      <c r="M16" s="105"/>
      <c r="N16" s="105"/>
      <c r="O16" s="106"/>
    </row>
    <row r="17" spans="7:15" ht="12.75" x14ac:dyDescent="0.2">
      <c r="G17" s="104">
        <v>6</v>
      </c>
      <c r="H17" s="105" t="s">
        <v>224</v>
      </c>
      <c r="I17" s="105"/>
      <c r="J17" s="105"/>
      <c r="K17" s="105"/>
      <c r="L17" s="105"/>
      <c r="M17" s="105"/>
      <c r="N17" s="105"/>
      <c r="O17" s="106"/>
    </row>
    <row r="18" spans="7:15" ht="12.75" x14ac:dyDescent="0.2">
      <c r="G18" s="104">
        <v>6</v>
      </c>
      <c r="H18" s="105" t="s">
        <v>225</v>
      </c>
      <c r="I18" s="105"/>
      <c r="J18" s="105"/>
      <c r="K18" s="105"/>
      <c r="L18" s="105"/>
      <c r="M18" s="105"/>
      <c r="N18" s="105"/>
      <c r="O18" s="106"/>
    </row>
    <row r="19" spans="7:15" ht="12.75" x14ac:dyDescent="0.2">
      <c r="G19" s="104">
        <v>4</v>
      </c>
      <c r="H19" s="105" t="s">
        <v>226</v>
      </c>
      <c r="I19" s="105"/>
      <c r="J19" s="105"/>
      <c r="K19" s="105"/>
      <c r="L19" s="105"/>
      <c r="M19" s="105"/>
      <c r="N19" s="105"/>
      <c r="O19" s="106"/>
    </row>
    <row r="20" spans="7:15" ht="12.75" x14ac:dyDescent="0.2">
      <c r="G20" s="107">
        <v>1</v>
      </c>
      <c r="H20" s="108" t="s">
        <v>227</v>
      </c>
      <c r="I20" s="108"/>
      <c r="J20" s="108"/>
      <c r="K20" s="108"/>
      <c r="L20" s="108"/>
      <c r="M20" s="108"/>
      <c r="N20" s="108"/>
      <c r="O20" s="109"/>
    </row>
    <row r="21" spans="7:15" ht="12.75" x14ac:dyDescent="0.2">
      <c r="G21" s="110">
        <v>1</v>
      </c>
      <c r="H21" s="111" t="s">
        <v>228</v>
      </c>
      <c r="I21" s="111"/>
      <c r="J21" s="111"/>
      <c r="K21" s="111"/>
      <c r="L21" s="111"/>
      <c r="M21" s="111"/>
      <c r="N21" s="111"/>
      <c r="O21" s="112"/>
    </row>
    <row r="22" spans="7:15" ht="12.75" x14ac:dyDescent="0.2">
      <c r="G22" s="113" t="s">
        <v>229</v>
      </c>
      <c r="L22" s="4" t="s">
        <v>230</v>
      </c>
    </row>
    <row r="113" spans="1:3" ht="12.75" x14ac:dyDescent="0.2">
      <c r="A113" s="114" t="s">
        <v>231</v>
      </c>
    </row>
    <row r="114" spans="1:3" ht="12.75" x14ac:dyDescent="0.2">
      <c r="A114" s="4" t="s">
        <v>232</v>
      </c>
      <c r="C114" s="10" t="s">
        <v>51</v>
      </c>
    </row>
  </sheetData>
  <hyperlinks>
    <hyperlink ref="G22" r:id="rId1" xr:uid="{00000000-0004-0000-0700-000000000000}"/>
    <hyperlink ref="C114" r:id="rId2" xr:uid="{00000000-0004-0000-0700-000001000000}"/>
  </hyperlinks>
  <pageMargins left="0.7" right="0.7" top="0.78740157499999996" bottom="0.78740157499999996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Absorbersurface Calc</vt:lpstr>
      <vt:lpstr>Enclosure Order+Postprocessing</vt:lpstr>
      <vt:lpstr>RatRig Parts</vt:lpstr>
      <vt:lpstr>ITEM Parts</vt:lpstr>
      <vt:lpstr>3D Printed Parts</vt:lpstr>
      <vt:lpstr>Standard Parts</vt:lpstr>
      <vt:lpstr>Misc Parts</vt:lpstr>
      <vt:lpstr>ITEM VorBestellung</vt:lpstr>
      <vt:lpstr>RatRig VorBestellung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Bade</cp:lastModifiedBy>
  <dcterms:modified xsi:type="dcterms:W3CDTF">2026-02-25T10:32:57Z</dcterms:modified>
</cp:coreProperties>
</file>